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odel_Guide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Model_Control" sheetId="4" state="visible" r:id="rId4"/>
    <sheet xmlns:r="http://schemas.openxmlformats.org/officeDocument/2006/relationships" name="10_Income_Statement" sheetId="5" state="visible" r:id="rId5"/>
    <sheet xmlns:r="http://schemas.openxmlformats.org/officeDocument/2006/relationships" name="11_Balance_Sheet" sheetId="6" state="visible" r:id="rId6"/>
    <sheet xmlns:r="http://schemas.openxmlformats.org/officeDocument/2006/relationships" name="12_Cash_Flow" sheetId="7" state="visible" r:id="rId7"/>
    <sheet xmlns:r="http://schemas.openxmlformats.org/officeDocument/2006/relationships" name="13_Financial_Ratios" sheetId="8" state="visible" r:id="rId8"/>
    <sheet xmlns:r="http://schemas.openxmlformats.org/officeDocument/2006/relationships" name="14_Historical_Drivers" sheetId="9" state="visible" r:id="rId9"/>
    <sheet xmlns:r="http://schemas.openxmlformats.org/officeDocument/2006/relationships" name="20_Operating_Model" sheetId="10" state="visible" r:id="rId10"/>
    <sheet xmlns:r="http://schemas.openxmlformats.org/officeDocument/2006/relationships" name="21_Revenue_Build" sheetId="11" state="visible" r:id="rId11"/>
    <sheet xmlns:r="http://schemas.openxmlformats.org/officeDocument/2006/relationships" name="22_Cost_Build" sheetId="12" state="visible" r:id="rId12"/>
    <sheet xmlns:r="http://schemas.openxmlformats.org/officeDocument/2006/relationships" name="23_Working_Capital" sheetId="13" state="visible" r:id="rId13"/>
    <sheet xmlns:r="http://schemas.openxmlformats.org/officeDocument/2006/relationships" name="24_Capex_D&amp;A" sheetId="14" state="visible" r:id="rId14"/>
    <sheet xmlns:r="http://schemas.openxmlformats.org/officeDocument/2006/relationships" name="25_Debt_Schedule" sheetId="15" state="visible" r:id="rId15"/>
    <sheet xmlns:r="http://schemas.openxmlformats.org/officeDocument/2006/relationships" name="26_Tax_Schedule" sheetId="16" state="visible" r:id="rId16"/>
    <sheet xmlns:r="http://schemas.openxmlformats.org/officeDocument/2006/relationships" name="27_Share_Count" sheetId="17" state="visible" r:id="rId17"/>
    <sheet xmlns:r="http://schemas.openxmlformats.org/officeDocument/2006/relationships" name="30_WACC" sheetId="18" state="visible" r:id="rId18"/>
    <sheet xmlns:r="http://schemas.openxmlformats.org/officeDocument/2006/relationships" name="31_DCF" sheetId="19" state="visible" r:id="rId19"/>
    <sheet xmlns:r="http://schemas.openxmlformats.org/officeDocument/2006/relationships" name="32_Terminal_Value" sheetId="20" state="visible" r:id="rId20"/>
    <sheet xmlns:r="http://schemas.openxmlformats.org/officeDocument/2006/relationships" name="33_Sensitivity" sheetId="21" state="visible" r:id="rId21"/>
    <sheet xmlns:r="http://schemas.openxmlformats.org/officeDocument/2006/relationships" name="34_Reverse_DCF" sheetId="22" state="visible" r:id="rId22"/>
    <sheet xmlns:r="http://schemas.openxmlformats.org/officeDocument/2006/relationships" name="35_Scenario_Analysis" sheetId="23" state="visible" r:id="rId23"/>
    <sheet xmlns:r="http://schemas.openxmlformats.org/officeDocument/2006/relationships" name="50_Data_Sources" sheetId="24" state="visible" r:id="rId24"/>
    <sheet xmlns:r="http://schemas.openxmlformats.org/officeDocument/2006/relationships" name="51_Assumption_Log" sheetId="25" state="visible" r:id="rId25"/>
    <sheet xmlns:r="http://schemas.openxmlformats.org/officeDocument/2006/relationships" name="52_Model_Checks" sheetId="26" state="visible" r:id="rId26"/>
    <sheet xmlns:r="http://schemas.openxmlformats.org/officeDocument/2006/relationships" name="53_Methodolog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(#,##0);&quot;-&quot;"/>
    <numFmt numFmtId="166" formatCode="#,##0.0;(#,##0.0);&quot;-&quot;"/>
    <numFmt numFmtId="167" formatCode="0.0&quot; days&quot;"/>
    <numFmt numFmtId="168" formatCode="0.000000"/>
    <numFmt numFmtId="169" formatCode="0.0&quot;x&quot;"/>
  </numFmts>
  <fonts count="14">
    <font>
      <name val="Calibri"/>
      <family val="2"/>
      <color theme="1"/>
      <sz val="11"/>
      <scheme val="minor"/>
    </font>
    <font>
      <name val="Trebuchet MS"/>
      <b val="1"/>
      <color rgb="001F4E79"/>
      <sz val="18"/>
    </font>
    <font>
      <name val="Trebuchet MS"/>
      <b val="1"/>
      <i val="1"/>
      <color rgb="00595959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563EB"/>
      <sz val="14"/>
      <u val="single"/>
    </font>
    <font>
      <name val="Calibri"/>
      <i val="1"/>
      <color rgb="00595959"/>
      <sz val="11"/>
    </font>
    <font>
      <name val="Calibri"/>
      <color rgb="000563C1"/>
      <sz val="11"/>
      <u val="single"/>
    </font>
    <font>
      <name val="Consolas"/>
      <b val="1"/>
      <color rgb="001E40AF"/>
      <sz val="11"/>
    </font>
    <font>
      <name val="Calibri"/>
      <b val="1"/>
      <color rgb="00375623"/>
      <sz val="11"/>
    </font>
    <font>
      <name val="Calibri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FF6FF"/>
        <bgColor rgb="00EFF6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10" fillId="0" borderId="1" pivotButton="0" quotePrefix="0" xfId="0"/>
    <xf numFmtId="0" fontId="0" fillId="0" borderId="1" pivotButton="0" quotePrefix="0" xfId="0"/>
    <xf numFmtId="0" fontId="11" fillId="3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6" fillId="0" borderId="3" pivotButton="0" quotePrefix="0" xfId="0"/>
    <xf numFmtId="4" fontId="6" fillId="0" borderId="3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3" fillId="0" borderId="1" pivotButton="0" quotePrefix="0" xfId="0"/>
    <xf numFmtId="0" fontId="6" fillId="0" borderId="0" pivotButton="0" quotePrefix="0" xfId="0"/>
    <xf numFmtId="166" fontId="6" fillId="0" borderId="3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0" fontId="7" fillId="0" borderId="0" pivotButton="0" quotePrefix="0" xfId="0"/>
    <xf numFmtId="166" fontId="13" fillId="0" borderId="1" applyAlignment="1" pivotButton="0" quotePrefix="0" xfId="0">
      <alignment horizontal="right" vertical="center"/>
    </xf>
    <xf numFmtId="10" fontId="13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2" fontId="13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0" fontId="6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8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0" fillId="0" borderId="3" pivotButton="0" quotePrefix="0" xfId="0"/>
    <xf numFmtId="4" fontId="3" fillId="0" borderId="3" applyAlignment="1" pivotButton="0" quotePrefix="0" xfId="0">
      <alignment horizontal="right" vertical="center"/>
    </xf>
    <xf numFmtId="169" fontId="13" fillId="0" borderId="1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164" fontId="5" fillId="2" borderId="0" applyAlignment="1" pivotButton="0" quotePrefix="0" xfId="0">
      <alignment horizontal="center" vertical="center"/>
    </xf>
    <xf numFmtId="10" fontId="6" fillId="0" borderId="1" pivotButton="0" quotePrefix="0" xfId="0"/>
    <xf numFmtId="169" fontId="5" fillId="2" borderId="0" applyAlignment="1" pivotButton="0" quotePrefix="0" xfId="0">
      <alignment horizontal="center" vertical="center"/>
    </xf>
    <xf numFmtId="4" fontId="1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49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abh08.vercel.app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0_Cover'!A1" TargetMode="External" Id="rId1"/><Relationship Type="http://schemas.openxmlformats.org/officeDocument/2006/relationships/hyperlink" Target="#'01_Model_Guide'!A1" TargetMode="External" Id="rId2"/><Relationship Type="http://schemas.openxmlformats.org/officeDocument/2006/relationships/hyperlink" Target="#'02_Executive_Summary'!A1" TargetMode="External" Id="rId3"/><Relationship Type="http://schemas.openxmlformats.org/officeDocument/2006/relationships/hyperlink" Target="#'03_Model_Control'!A1" TargetMode="External" Id="rId4"/><Relationship Type="http://schemas.openxmlformats.org/officeDocument/2006/relationships/hyperlink" Target="#'10_Income_Statement'!A1" TargetMode="External" Id="rId5"/><Relationship Type="http://schemas.openxmlformats.org/officeDocument/2006/relationships/hyperlink" Target="#'11_Balance_Sheet'!A1" TargetMode="External" Id="rId6"/><Relationship Type="http://schemas.openxmlformats.org/officeDocument/2006/relationships/hyperlink" Target="#'12_Cash_Flow'!A1" TargetMode="External" Id="rId7"/><Relationship Type="http://schemas.openxmlformats.org/officeDocument/2006/relationships/hyperlink" Target="#'13_Financial_Ratios'!A1" TargetMode="External" Id="rId8"/><Relationship Type="http://schemas.openxmlformats.org/officeDocument/2006/relationships/hyperlink" Target="#'14_Historical_Drivers'!A1" TargetMode="External" Id="rId9"/><Relationship Type="http://schemas.openxmlformats.org/officeDocument/2006/relationships/hyperlink" Target="#'20_Operating_Model'!A1" TargetMode="External" Id="rId10"/><Relationship Type="http://schemas.openxmlformats.org/officeDocument/2006/relationships/hyperlink" Target="#'21_Revenue_Build'!A1" TargetMode="External" Id="rId11"/><Relationship Type="http://schemas.openxmlformats.org/officeDocument/2006/relationships/hyperlink" Target="#'22_Cost_Build'!A1" TargetMode="External" Id="rId12"/><Relationship Type="http://schemas.openxmlformats.org/officeDocument/2006/relationships/hyperlink" Target="#'23_Working_Capital'!A1" TargetMode="External" Id="rId13"/><Relationship Type="http://schemas.openxmlformats.org/officeDocument/2006/relationships/hyperlink" Target="#'24_Capex_D&amp;A'!A1" TargetMode="External" Id="rId14"/><Relationship Type="http://schemas.openxmlformats.org/officeDocument/2006/relationships/hyperlink" Target="#'25_Debt_Schedule'!A1" TargetMode="External" Id="rId15"/><Relationship Type="http://schemas.openxmlformats.org/officeDocument/2006/relationships/hyperlink" Target="#'26_Tax_Schedule'!A1" TargetMode="External" Id="rId16"/><Relationship Type="http://schemas.openxmlformats.org/officeDocument/2006/relationships/hyperlink" Target="#'27_Share_Count'!A1" TargetMode="External" Id="rId17"/><Relationship Type="http://schemas.openxmlformats.org/officeDocument/2006/relationships/hyperlink" Target="#'30_WACC'!A1" TargetMode="External" Id="rId18"/><Relationship Type="http://schemas.openxmlformats.org/officeDocument/2006/relationships/hyperlink" Target="#'31_DCF'!A1" TargetMode="External" Id="rId19"/><Relationship Type="http://schemas.openxmlformats.org/officeDocument/2006/relationships/hyperlink" Target="#'32_Terminal_Value'!A1" TargetMode="External" Id="rId20"/><Relationship Type="http://schemas.openxmlformats.org/officeDocument/2006/relationships/hyperlink" Target="#'33_Sensitivity'!A1" TargetMode="External" Id="rId21"/><Relationship Type="http://schemas.openxmlformats.org/officeDocument/2006/relationships/hyperlink" Target="#'34_Reverse_DCF'!A1" TargetMode="External" Id="rId22"/><Relationship Type="http://schemas.openxmlformats.org/officeDocument/2006/relationships/hyperlink" Target="#'35_Scenario_Analysis'!A1" TargetMode="External" Id="rId23"/><Relationship Type="http://schemas.openxmlformats.org/officeDocument/2006/relationships/hyperlink" Target="#'50_Data_Sources'!A1" TargetMode="External" Id="rId24"/><Relationship Type="http://schemas.openxmlformats.org/officeDocument/2006/relationships/hyperlink" Target="#'51_Assumption_Log'!A1" TargetMode="External" Id="rId25"/><Relationship Type="http://schemas.openxmlformats.org/officeDocument/2006/relationships/hyperlink" Target="#'52_Model_Checks'!A1" TargetMode="External" Id="rId26"/><Relationship Type="http://schemas.openxmlformats.org/officeDocument/2006/relationships/hyperlink" Target="#'53_Methodology'!A1" TargetMode="External" Id="rId27"/><Relationship Type="http://schemas.openxmlformats.org/officeDocument/2006/relationships/hyperlink" Target="#'02_Executive_Summary'!A1" TargetMode="External" Id="rId28"/><Relationship Type="http://schemas.openxmlformats.org/officeDocument/2006/relationships/hyperlink" Target="#'20_Operating_Model'!A1" TargetMode="External" Id="rId29"/><Relationship Type="http://schemas.openxmlformats.org/officeDocument/2006/relationships/hyperlink" Target="#'30_WACC'!A1" TargetMode="External" Id="rId30"/><Relationship Type="http://schemas.openxmlformats.org/officeDocument/2006/relationships/hyperlink" Target="#'32_Terminal_Value'!A1" TargetMode="External" Id="rId31"/><Relationship Type="http://schemas.openxmlformats.org/officeDocument/2006/relationships/hyperlink" Target="#'33_Sensitivity'!A1" TargetMode="External" Id="rId32"/><Relationship Type="http://schemas.openxmlformats.org/officeDocument/2006/relationships/hyperlink" Target="#'35_Scenario_Analysis'!A1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20" customWidth="1" min="4" max="4"/>
  </cols>
  <sheetData>
    <row r="2">
      <c r="B2" s="1" t="inlineStr">
        <is>
          <t>V A L E N C E</t>
        </is>
      </c>
    </row>
    <row r="3">
      <c r="B3" s="2" t="inlineStr">
        <is>
          <t>VALENCE VALUATION PLATFORM</t>
        </is>
      </c>
    </row>
    <row r="5">
      <c r="B5" s="3" t="inlineStr">
        <is>
          <t>OIL &amp; NATURAL GAS CORPORATION LIMITED</t>
        </is>
      </c>
    </row>
    <row r="6">
      <c r="B6" s="4" t="inlineStr">
        <is>
          <t>Ticker: ONGC | Market: INDIA | Fiscal Basis: March 31</t>
        </is>
      </c>
    </row>
    <row r="7">
      <c r="B7" s="5" t="inlineStr">
        <is>
          <t>MODEL METADATA</t>
        </is>
      </c>
      <c r="C7" s="6" t="n"/>
    </row>
    <row r="8">
      <c r="B8" s="7" t="inlineStr">
        <is>
          <t>Company Name</t>
        </is>
      </c>
      <c r="C8" s="8" t="inlineStr">
        <is>
          <t>Oil &amp; Natural Gas Corporation Limited</t>
        </is>
      </c>
    </row>
    <row r="9">
      <c r="B9" s="7" t="inlineStr">
        <is>
          <t>Ticker Symbol</t>
        </is>
      </c>
      <c r="C9" s="8" t="inlineStr">
        <is>
          <t>ONGC</t>
        </is>
      </c>
    </row>
    <row r="10">
      <c r="B10" s="7" t="inlineStr">
        <is>
          <t>Primary Market</t>
        </is>
      </c>
      <c r="C10" s="8" t="inlineStr">
        <is>
          <t>INDIA</t>
        </is>
      </c>
    </row>
    <row r="11">
      <c r="B11" s="7" t="inlineStr">
        <is>
          <t>Reporting Currency</t>
        </is>
      </c>
      <c r="C11" s="8" t="inlineStr">
        <is>
          <t>INR</t>
        </is>
      </c>
    </row>
    <row r="12">
      <c r="B12" s="7" t="inlineStr">
        <is>
          <t>Display Units</t>
        </is>
      </c>
      <c r="C12" s="8" t="inlineStr">
        <is>
          <t>crores</t>
        </is>
      </c>
    </row>
    <row r="13">
      <c r="B13" s="7" t="inlineStr">
        <is>
          <t>Model Specification Version</t>
        </is>
      </c>
      <c r="C13" s="8" t="inlineStr">
        <is>
          <t>1.0.0</t>
        </is>
      </c>
    </row>
    <row r="14">
      <c r="B14" s="7" t="inlineStr">
        <is>
          <t>Model Generation Date</t>
        </is>
      </c>
      <c r="C14" s="8" t="inlineStr">
        <is>
          <t>2026-08-19</t>
        </is>
      </c>
    </row>
    <row r="15">
      <c r="B15" s="7" t="inlineStr">
        <is>
          <t>Historical Periods</t>
        </is>
      </c>
      <c r="C15" s="8" t="inlineStr">
        <is>
          <t>FY24, FY25, FY26</t>
        </is>
      </c>
    </row>
    <row r="16">
      <c r="B16" s="7" t="inlineStr">
        <is>
          <t>Forecast Periods</t>
        </is>
      </c>
      <c r="C16" s="8" t="inlineStr">
        <is>
          <t>FY27, FY28, FY29, FY30, FY31</t>
        </is>
      </c>
    </row>
    <row r="17">
      <c r="B17" s="7" t="inlineStr">
        <is>
          <t>Scenarios Modeled</t>
        </is>
      </c>
      <c r="C17" s="8" t="inlineStr">
        <is>
          <t>base, bull, bear</t>
        </is>
      </c>
    </row>
    <row r="20">
      <c r="B20" s="9" t="inlineStr">
        <is>
          <t>By Sourabh</t>
        </is>
      </c>
    </row>
  </sheetData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5" customWidth="1" min="3" max="3"/>
    <col width="65" customWidth="1" min="4" max="4"/>
  </cols>
  <sheetData>
    <row r="2">
      <c r="B2" s="3" t="inlineStr">
        <is>
          <t>WORKBOOK MODEL GUIDE</t>
        </is>
      </c>
    </row>
    <row r="3">
      <c r="B3" s="10" t="inlineStr">
        <is>
          <t>Complete Tab Architecture and Navigation Reference</t>
        </is>
      </c>
    </row>
    <row r="5">
      <c r="B5" s="11" t="inlineStr">
        <is>
          <t>Group</t>
        </is>
      </c>
      <c r="C5" s="12" t="inlineStr">
        <is>
          <t>Tab Name</t>
        </is>
      </c>
      <c r="D5" s="12" t="inlineStr">
        <is>
          <t>Description</t>
        </is>
      </c>
    </row>
    <row r="6">
      <c r="B6" s="7" t="inlineStr">
        <is>
          <t>Front Matter</t>
        </is>
      </c>
      <c r="C6" s="13" t="inlineStr">
        <is>
          <t>00_Cover</t>
        </is>
      </c>
      <c r="D6" s="8" t="inlineStr">
        <is>
          <t>Company cover page, metadata, and branding slot</t>
        </is>
      </c>
    </row>
    <row r="7">
      <c r="B7" s="7" t="inlineStr">
        <is>
          <t>Front Matter</t>
        </is>
      </c>
      <c r="C7" s="13" t="inlineStr">
        <is>
          <t>01_Model_Guide</t>
        </is>
      </c>
      <c r="D7" s="8" t="inlineStr">
        <is>
          <t>Workbook structure and tab navigation reference</t>
        </is>
      </c>
    </row>
    <row r="8">
      <c r="B8" s="7" t="inlineStr">
        <is>
          <t>Front Matter</t>
        </is>
      </c>
      <c r="C8" s="13" t="inlineStr">
        <is>
          <t>02_Executive_Summary</t>
        </is>
      </c>
      <c r="D8" s="8" t="inlineStr">
        <is>
          <t>60-second valuation overview &amp; scenario outputs</t>
        </is>
      </c>
    </row>
    <row r="9">
      <c r="B9" s="7" t="inlineStr">
        <is>
          <t>Front Matter</t>
        </is>
      </c>
      <c r="C9" s="13" t="inlineStr">
        <is>
          <t>03_Model_Control</t>
        </is>
      </c>
      <c r="D9" s="8" t="inlineStr">
        <is>
          <t>Scenario selector and global model controls</t>
        </is>
      </c>
    </row>
    <row r="10">
      <c r="B10" s="7" t="inlineStr">
        <is>
          <t>Historical Financials</t>
        </is>
      </c>
      <c r="C10" s="13" t="inlineStr">
        <is>
          <t>10_Income_Statement</t>
        </is>
      </c>
      <c r="D10" s="8" t="inlineStr">
        <is>
          <t>Historical Income Statement (FY24-FY26)</t>
        </is>
      </c>
    </row>
    <row r="11">
      <c r="B11" s="7" t="inlineStr">
        <is>
          <t>Historical Financials</t>
        </is>
      </c>
      <c r="C11" s="13" t="inlineStr">
        <is>
          <t>11_Balance_Sheet</t>
        </is>
      </c>
      <c r="D11" s="8" t="inlineStr">
        <is>
          <t>Historical Balance Sheet (FY24-FY26)</t>
        </is>
      </c>
    </row>
    <row r="12">
      <c r="B12" s="7" t="inlineStr">
        <is>
          <t>Historical Financials</t>
        </is>
      </c>
      <c r="C12" s="13" t="inlineStr">
        <is>
          <t>12_Cash_Flow</t>
        </is>
      </c>
      <c r="D12" s="8" t="inlineStr">
        <is>
          <t>Historical Cash Flow Statement (FY24-FY26)</t>
        </is>
      </c>
    </row>
    <row r="13">
      <c r="B13" s="7" t="inlineStr">
        <is>
          <t>Historical Financials</t>
        </is>
      </c>
      <c r="C13" s="13" t="inlineStr">
        <is>
          <t>13_Financial_Ratios</t>
        </is>
      </c>
      <c r="D13" s="8" t="inlineStr">
        <is>
          <t>Historical margins, growth rates &amp; working capital</t>
        </is>
      </c>
    </row>
    <row r="14">
      <c r="B14" s="7" t="inlineStr">
        <is>
          <t>Historical Financials</t>
        </is>
      </c>
      <c r="C14" s="13" t="inlineStr">
        <is>
          <t>14_Historical_Drivers</t>
        </is>
      </c>
      <c r="D14" s="8" t="inlineStr">
        <is>
          <t>Historical financial driver series</t>
        </is>
      </c>
    </row>
    <row r="15">
      <c r="B15" s="7" t="inlineStr">
        <is>
          <t>Forecast &amp; Schedules</t>
        </is>
      </c>
      <c r="C15" s="13" t="inlineStr">
        <is>
          <t>20_Operating_Model</t>
        </is>
      </c>
      <c r="D15" s="8" t="inlineStr">
        <is>
          <t>Combined 3-statement forecast model (FY27-FY31)</t>
        </is>
      </c>
    </row>
    <row r="16">
      <c r="B16" s="7" t="inlineStr">
        <is>
          <t>Forecast &amp; Schedules</t>
        </is>
      </c>
      <c r="C16" s="13" t="inlineStr">
        <is>
          <t>21_Revenue_Build</t>
        </is>
      </c>
      <c r="D16" s="8" t="inlineStr">
        <is>
          <t>Segment revenue forecast &amp; YoY growth</t>
        </is>
      </c>
    </row>
    <row r="17">
      <c r="B17" s="7" t="inlineStr">
        <is>
          <t>Forecast &amp; Schedules</t>
        </is>
      </c>
      <c r="C17" s="13" t="inlineStr">
        <is>
          <t>22_Cost_Build</t>
        </is>
      </c>
      <c r="D17" s="8" t="inlineStr">
        <is>
          <t>EBITDA &amp; operating cost structure forecast</t>
        </is>
      </c>
    </row>
    <row r="18">
      <c r="B18" s="7" t="inlineStr">
        <is>
          <t>Forecast &amp; Schedules</t>
        </is>
      </c>
      <c r="C18" s="13" t="inlineStr">
        <is>
          <t>23_Working_Capital</t>
        </is>
      </c>
      <c r="D18" s="8" t="inlineStr">
        <is>
          <t>DSO &amp; DPO driven working capital forecast</t>
        </is>
      </c>
    </row>
    <row r="19">
      <c r="B19" s="7" t="inlineStr">
        <is>
          <t>Forecast &amp; Schedules</t>
        </is>
      </c>
      <c r="C19" s="13" t="inlineStr">
        <is>
          <t>24_Capex_D&amp;A</t>
        </is>
      </c>
      <c r="D19" s="8" t="inlineStr">
        <is>
          <t>Capex % revenue &amp; D&amp;A schedule</t>
        </is>
      </c>
    </row>
    <row r="20">
      <c r="B20" s="7" t="inlineStr">
        <is>
          <t>Forecast &amp; Schedules</t>
        </is>
      </c>
      <c r="C20" s="13" t="inlineStr">
        <is>
          <t>25_Debt_Schedule</t>
        </is>
      </c>
      <c r="D20" s="8" t="inlineStr">
        <is>
          <t>Generic debt schedule (thin for zero debt)</t>
        </is>
      </c>
    </row>
    <row r="21">
      <c r="B21" s="7" t="inlineStr">
        <is>
          <t>Forecast &amp; Schedules</t>
        </is>
      </c>
      <c r="C21" s="13" t="inlineStr">
        <is>
          <t>26_Tax_Schedule</t>
        </is>
      </c>
      <c r="D21" s="8" t="inlineStr">
        <is>
          <t>Effective tax rate &amp; PBT tax forecast</t>
        </is>
      </c>
    </row>
    <row r="22">
      <c r="B22" s="7" t="inlineStr">
        <is>
          <t>Forecast &amp; Schedules</t>
        </is>
      </c>
      <c r="C22" s="13" t="inlineStr">
        <is>
          <t>27_Share_Count</t>
        </is>
      </c>
      <c r="D22" s="8" t="inlineStr">
        <is>
          <t>Diluted share count schedule</t>
        </is>
      </c>
    </row>
    <row r="23">
      <c r="B23" s="7" t="inlineStr">
        <is>
          <t>Valuation</t>
        </is>
      </c>
      <c r="C23" s="13" t="inlineStr">
        <is>
          <t>30_WACC</t>
        </is>
      </c>
      <c r="D23" s="8" t="inlineStr">
        <is>
          <t>WACC CAPM cost of equity &amp; capital weighting</t>
        </is>
      </c>
    </row>
    <row r="24">
      <c r="B24" s="7" t="inlineStr">
        <is>
          <t>Valuation</t>
        </is>
      </c>
      <c r="C24" s="13" t="inlineStr">
        <is>
          <t>31_DCF</t>
        </is>
      </c>
      <c r="D24" s="8" t="inlineStr">
        <is>
          <t>5-year FCFF, PV discounting, and EV -&gt; Price bridge</t>
        </is>
      </c>
    </row>
    <row r="25">
      <c r="B25" s="7" t="inlineStr">
        <is>
          <t>Valuation</t>
        </is>
      </c>
      <c r="C25" s="13" t="inlineStr">
        <is>
          <t>32_Terminal_Value</t>
        </is>
      </c>
      <c r="D25" s="8" t="inlineStr">
        <is>
          <t>Dual terminal value: Gordon Growth &amp; Exit Multiple</t>
        </is>
      </c>
    </row>
    <row r="26">
      <c r="B26" s="7" t="inlineStr">
        <is>
          <t>Valuation</t>
        </is>
      </c>
      <c r="C26" s="13" t="inlineStr">
        <is>
          <t>33_Sensitivity</t>
        </is>
      </c>
      <c r="D26" s="8" t="inlineStr">
        <is>
          <t>2D sensitivity grids (WACC x Growth, WACC x Multiple)</t>
        </is>
      </c>
    </row>
    <row r="27">
      <c r="B27" s="7" t="inlineStr">
        <is>
          <t>Valuation</t>
        </is>
      </c>
      <c r="C27" s="13" t="inlineStr">
        <is>
          <t>34_Reverse_DCF</t>
        </is>
      </c>
      <c r="D27" s="8" t="inlineStr">
        <is>
          <t>Market implied perpetuity terminal growth rate</t>
        </is>
      </c>
    </row>
    <row r="28">
      <c r="B28" s="7" t="inlineStr">
        <is>
          <t>Valuation</t>
        </is>
      </c>
      <c r="C28" s="13" t="inlineStr">
        <is>
          <t>35_Scenario_Analysis</t>
        </is>
      </c>
      <c r="D28" s="8" t="inlineStr">
        <is>
          <t>Base, Bull, Bear outputs side-by-side</t>
        </is>
      </c>
    </row>
    <row r="29">
      <c r="B29" s="7" t="inlineStr">
        <is>
          <t>QA / Documentation</t>
        </is>
      </c>
      <c r="C29" s="13" t="inlineStr">
        <is>
          <t>50_Data_Sources</t>
        </is>
      </c>
      <c r="D29" s="8" t="inlineStr">
        <is>
          <t>Line item status, source filings &amp; lineage</t>
        </is>
      </c>
    </row>
    <row r="30">
      <c r="B30" s="7" t="inlineStr">
        <is>
          <t>QA / Documentation</t>
        </is>
      </c>
      <c r="C30" s="13" t="inlineStr">
        <is>
          <t>51_Assumption_Log</t>
        </is>
      </c>
      <c r="D30" s="8" t="inlineStr">
        <is>
          <t>Model-generated &amp; analyst override assumptions</t>
        </is>
      </c>
    </row>
    <row r="31">
      <c r="B31" s="7" t="inlineStr">
        <is>
          <t>QA / Documentation</t>
        </is>
      </c>
      <c r="C31" s="13" t="inlineStr">
        <is>
          <t>52_Model_Checks</t>
        </is>
      </c>
      <c r="D31" s="8" t="inlineStr">
        <is>
          <t>QA model checks rollup table and status</t>
        </is>
      </c>
    </row>
    <row r="32">
      <c r="B32" s="7" t="inlineStr">
        <is>
          <t>QA / Documentation</t>
        </is>
      </c>
      <c r="C32" s="13" t="inlineStr">
        <is>
          <t>53_Methodology</t>
        </is>
      </c>
      <c r="D32" s="8" t="inlineStr">
        <is>
          <t>System derivation and valuation methodology notes</t>
        </is>
      </c>
    </row>
    <row r="35">
      <c r="B35" s="3" t="inlineStr">
        <is>
          <t>HOW TO USE THIS MODEL (STUDENT &amp; ANALYST GUIDE)</t>
        </is>
      </c>
    </row>
    <row r="36">
      <c r="B36" s="10" t="inlineStr">
        <is>
          <t>A beginner-friendly step-by-step guide to reading, modifying, and understanding this financial model.</t>
        </is>
      </c>
    </row>
    <row r="38">
      <c r="B38" s="5" t="inlineStr">
        <is>
          <t>1. VALUATION CONCEPTUAL OVERVIEW (WHAT IS A DCF?)</t>
        </is>
      </c>
      <c r="C38" s="6" t="n"/>
      <c r="D38" s="6" t="n"/>
    </row>
    <row r="39">
      <c r="B39" s="7" t="inlineStr">
        <is>
          <t>Core Objective</t>
        </is>
      </c>
      <c r="C39" s="8" t="inlineStr">
        <is>
          <t>Calculate the intrinsic fair value per share of a company by discounting its future cash flow generator back to today.</t>
        </is>
      </c>
      <c r="D39" s="14" t="n"/>
    </row>
    <row r="40">
      <c r="B40" s="7" t="inlineStr">
        <is>
          <t>Step 1: Cash Flow</t>
        </is>
      </c>
      <c r="C40" s="8" t="inlineStr">
        <is>
          <t>Forecast 5 years of Free Cash Flow to Firm (FCFF) — the net cash left over after operating expenses, taxes, and capital investments.</t>
        </is>
      </c>
      <c r="D40" s="14" t="n"/>
    </row>
    <row r="41">
      <c r="B41" s="7" t="inlineStr">
        <is>
          <t>Step 2: Discount Rate</t>
        </is>
      </c>
      <c r="C41" s="8" t="inlineStr">
        <is>
          <t>Discount future cash flows back to present value using WACC (Weighted Average Cost of Capital) to adjust for risk and time value of money.</t>
        </is>
      </c>
      <c r="D41" s="14" t="n"/>
    </row>
    <row r="42">
      <c r="B42" s="7" t="inlineStr">
        <is>
          <t>Step 3: Equity Bridge</t>
        </is>
      </c>
      <c r="C42" s="8" t="inlineStr">
        <is>
          <t>Add Cash &amp; Investments to Enterprise Value, subtract Total Debt to find Equity Value, and divide by Diluted Share Count.</t>
        </is>
      </c>
      <c r="D42" s="14" t="n"/>
    </row>
    <row r="43">
      <c r="B43" s="7" t="inlineStr">
        <is>
          <t>Step 4: Decision Rule</t>
        </is>
      </c>
      <c r="C43" s="8" t="inlineStr">
        <is>
          <t>If Implied Fair Price &gt; Live Market Price, the stock is Undervalued (Bullish). If lower, the stock is Overvalued (Bearish).</t>
        </is>
      </c>
      <c r="D43" s="14" t="n"/>
    </row>
    <row r="45">
      <c r="B45" s="11" t="inlineStr">
        <is>
          <t>Convention</t>
        </is>
      </c>
      <c r="C45" s="12" t="inlineStr">
        <is>
          <t>Cell Type</t>
        </is>
      </c>
      <c r="D45" s="12" t="inlineStr">
        <is>
          <t>Description &amp; How to Interact</t>
        </is>
      </c>
    </row>
    <row r="46">
      <c r="B46" s="7" t="inlineStr">
        <is>
          <t>Blue Text / Shaded Fill</t>
        </is>
      </c>
      <c r="C46" s="8" t="inlineStr">
        <is>
          <t>Analyst Input / Override</t>
        </is>
      </c>
      <c r="D46" s="8" t="inlineStr">
        <is>
          <t>EDITABLE BY YOU! Modify these numbers (e.g. expected revenue growth % or profit margins) in 03_Model_Control or 51_Assumption_Log.</t>
        </is>
      </c>
    </row>
    <row r="47">
      <c r="B47" s="7" t="inlineStr">
        <is>
          <t>Black Text</t>
        </is>
      </c>
      <c r="C47" s="8" t="inlineStr">
        <is>
          <t>Dynamic Excel Formula</t>
        </is>
      </c>
      <c r="D47" s="8" t="inlineStr">
        <is>
          <t>AUTOMATED MATH! Calculated automatically using standard accounting, 3-statement, and DCF formulas.</t>
        </is>
      </c>
    </row>
    <row r="48">
      <c r="B48" s="7" t="inlineStr">
        <is>
          <t>Blue Underline</t>
        </is>
      </c>
      <c r="C48" s="8" t="inlineStr">
        <is>
          <t>Hyperlink Navigation</t>
        </is>
      </c>
      <c r="D48" s="8" t="inlineStr">
        <is>
          <t>CLICKABLE LINKS! Click any tab name to navigate directly to that worksheet.</t>
        </is>
      </c>
    </row>
    <row r="49">
      <c r="B49" s="7" t="inlineStr">
        <is>
          <t>Green / Red Text</t>
        </is>
      </c>
      <c r="C49" s="8" t="inlineStr">
        <is>
          <t>QA / Delta Indicator</t>
        </is>
      </c>
      <c r="D49" s="8" t="inlineStr">
        <is>
          <t>MODEL FEEDBACK! Green indicates balance sheet 100% balance or positive upside; Red flags potential errors or downside.</t>
        </is>
      </c>
    </row>
    <row r="51">
      <c r="B51" s="11" t="inlineStr">
        <is>
          <t>Workflow Step</t>
        </is>
      </c>
      <c r="C51" s="12" t="inlineStr">
        <is>
          <t>Target Sheet</t>
        </is>
      </c>
      <c r="D51" s="12" t="inlineStr">
        <is>
          <t>Modeling Action &amp; Purpose</t>
        </is>
      </c>
    </row>
    <row r="52">
      <c r="B52" s="7" t="inlineStr">
        <is>
          <t>Step 1: Executive Overview</t>
        </is>
      </c>
      <c r="C52" s="13" t="inlineStr">
        <is>
          <t>02_Executive_Summary</t>
        </is>
      </c>
      <c r="D52" s="8" t="inlineStr">
        <is>
          <t>Start here! Get a 60-second summary of implied share price vs market benchmark, WACC, and scenario outputs.</t>
        </is>
      </c>
    </row>
    <row r="53">
      <c r="B53" s="7" t="inlineStr">
        <is>
          <t>Step 2: Operating Model</t>
        </is>
      </c>
      <c r="C53" s="13" t="inlineStr">
        <is>
          <t>20_Operating_Model</t>
        </is>
      </c>
      <c r="D53" s="8" t="inlineStr">
        <is>
          <t>Inspect historical financial actuals (FY24-FY26) and 5-year integrated 3-statement forecast (FY27-FY31).</t>
        </is>
      </c>
    </row>
    <row r="54">
      <c r="B54" s="7" t="inlineStr">
        <is>
          <t>Step 3: WACC &amp; DCF Schedule</t>
        </is>
      </c>
      <c r="C54" s="13" t="inlineStr">
        <is>
          <t>30_WACC &amp; 31_DCF</t>
        </is>
      </c>
      <c r="D54" s="8" t="inlineStr">
        <is>
          <t>Examine CAPM Cost of Equity, mid-year discount factors (1+WACC)^-(t-0.5), free cash flows, and non-operating equity bridge.</t>
        </is>
      </c>
    </row>
    <row r="55">
      <c r="B55" s="7" t="inlineStr">
        <is>
          <t>Step 4: Terminal Value &amp; ROIC</t>
        </is>
      </c>
      <c r="C55" s="13" t="inlineStr">
        <is>
          <t>32_Terminal_Value</t>
        </is>
      </c>
      <c r="D55" s="8" t="inlineStr">
        <is>
          <t>Validate dual terminal value outputs (Gordon Growth vs Exit Multiple) and check implied terminal ROIC consistency.</t>
        </is>
      </c>
    </row>
    <row r="56">
      <c r="B56" s="7" t="inlineStr">
        <is>
          <t>Step 5: Sensitivity &amp; Reverse DCF</t>
        </is>
      </c>
      <c r="C56" s="13" t="inlineStr">
        <is>
          <t>33_Sensitivity &amp; 34_Reverse_DCF</t>
        </is>
      </c>
      <c r="D56" s="8" t="inlineStr">
        <is>
          <t>Test 2D sensitivity matrices (WACC x Growth, WACC x Multiple) and solve for market-implied growth expectations.</t>
        </is>
      </c>
    </row>
    <row r="57">
      <c r="B57" s="7" t="inlineStr">
        <is>
          <t>Step 6: Scenario &amp; Audit Log</t>
        </is>
      </c>
      <c r="C57" s="13" t="inlineStr">
        <is>
          <t>35_Scenario_Analysis &amp; 52_Model_Checks</t>
        </is>
      </c>
      <c r="D57" s="8" t="inlineStr">
        <is>
          <t>Compare Base, Bull, and Bear cases side-by-side and review automated QA check results.</t>
        </is>
      </c>
    </row>
    <row r="59">
      <c r="B59" s="11" t="inlineStr">
        <is>
          <t>Valuation Metric</t>
        </is>
      </c>
      <c r="C59" s="12" t="inlineStr">
        <is>
          <t>Excel Formula Structure</t>
        </is>
      </c>
      <c r="D59" s="12" t="inlineStr">
        <is>
          <t>Methodology Explanation (Plain English)</t>
        </is>
      </c>
    </row>
    <row r="60">
      <c r="B60" s="7" t="inlineStr">
        <is>
          <t>Free Cash Flow to Firm (FCFF)</t>
        </is>
      </c>
      <c r="C60" s="15" t="inlineStr">
        <is>
          <t>NOPAT + D&amp;A - CapEx - ΔNWC</t>
        </is>
      </c>
      <c r="D60" s="8" t="inlineStr">
        <is>
          <t>The actual cash left over for all capital providers after paying operating expenses, taxes, and capital investments.</t>
        </is>
      </c>
    </row>
    <row r="61">
      <c r="B61" s="7" t="inlineStr">
        <is>
          <t>Mid-Year Discount Factor</t>
        </is>
      </c>
      <c r="C61" s="15" t="inlineStr">
        <is>
          <t>1 / ((1 + WACC) ^ (t - 0.5))</t>
        </is>
      </c>
      <c r="D61" s="8" t="inlineStr">
        <is>
          <t>Discounts future cash flows assuming cash is received evenly throughout the year (exponent t - 0.5 for t=1..5).</t>
        </is>
      </c>
    </row>
    <row r="62">
      <c r="B62" s="7" t="inlineStr">
        <is>
          <t>Terminal Value (Gordon Growth)</t>
        </is>
      </c>
      <c r="C62" s="15" t="inlineStr">
        <is>
          <t>FCFF_5 * (1 + g) / (WACC - g)</t>
        </is>
      </c>
      <c r="D62" s="8" t="inlineStr">
        <is>
          <t>Estimates the value of all cash flows beyond Year 5 assuming the company grows forever at a steady rate g.</t>
        </is>
      </c>
    </row>
    <row r="63">
      <c r="B63" s="7" t="inlineStr">
        <is>
          <t>Equity Value Bridge</t>
        </is>
      </c>
      <c r="C63" s="15" t="inlineStr">
        <is>
          <t>EV + Cash + MktSec + NonCurrInv - Debt</t>
        </is>
      </c>
      <c r="D63" s="8" t="inlineStr">
        <is>
          <t>Converts Enterprise Value (business operations) to Equity Value (shareholders' wealth) by adding cash and subtracting debt.</t>
        </is>
      </c>
    </row>
    <row r="64">
      <c r="B64" s="7" t="inlineStr">
        <is>
          <t>Implied Share Price</t>
        </is>
      </c>
      <c r="C64" s="15" t="inlineStr">
        <is>
          <t>Equity Value / Diluted Shares</t>
        </is>
      </c>
      <c r="D64" s="8" t="inlineStr">
        <is>
          <t>Calculates the fair value price per share to compare directly against live market stock price.</t>
        </is>
      </c>
    </row>
  </sheetData>
  <mergeCells count="5">
    <mergeCell ref="C43:D43"/>
    <mergeCell ref="C41:D41"/>
    <mergeCell ref="C42:D42"/>
    <mergeCell ref="C40:D40"/>
    <mergeCell ref="C39:D3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52" r:id="rId28"/>
    <hyperlink xmlns:r="http://schemas.openxmlformats.org/officeDocument/2006/relationships" ref="C53" r:id="rId29"/>
    <hyperlink xmlns:r="http://schemas.openxmlformats.org/officeDocument/2006/relationships" ref="C54" r:id="rId30"/>
    <hyperlink xmlns:r="http://schemas.openxmlformats.org/officeDocument/2006/relationships" ref="C55" r:id="rId31"/>
    <hyperlink xmlns:r="http://schemas.openxmlformats.org/officeDocument/2006/relationships" ref="C56" r:id="rId32"/>
    <hyperlink xmlns:r="http://schemas.openxmlformats.org/officeDocument/2006/relationships" ref="C57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2">
      <c r="B2" s="3" t="inlineStr">
        <is>
          <t>OIL &amp; NATURAL GAS CORPORATION LIMITED (ONGC)</t>
        </is>
      </c>
    </row>
    <row r="3">
      <c r="B3" s="4" t="inlineStr">
        <is>
          <t>EXECUTIVE VALUATION SUMMARY (60-SECOND OVERVIEW)</t>
        </is>
      </c>
    </row>
    <row r="5">
      <c r="B5" s="16" t="inlineStr">
        <is>
          <t>Market Benchmark Price</t>
        </is>
      </c>
      <c r="C5" s="16" t="inlineStr">
        <is>
          <t>Base Implied Price</t>
        </is>
      </c>
      <c r="D5" s="16" t="inlineStr">
        <is>
          <t>Implied Upside / (Downside)</t>
        </is>
      </c>
      <c r="E5" s="16" t="inlineStr">
        <is>
          <t>WACC %</t>
        </is>
      </c>
      <c r="F5" s="16" t="inlineStr">
        <is>
          <t>QA Status</t>
        </is>
      </c>
    </row>
    <row r="6">
      <c r="B6" s="17" t="n">
        <v>235.35</v>
      </c>
      <c r="C6" s="17">
        <f>'35_Scenario_Analysis'!C6</f>
        <v>384.52</v>
      </c>
      <c r="D6" s="18">
        <f>IF(B6=0,"N/A",(C6-B6)/B6)</f>
        <v>0.6338219672827703</v>
      </c>
      <c r="E6" s="18">
        <f>'30_WACC'!C15</f>
        <v>0.105567</v>
      </c>
      <c r="F6" s="19" t="inlineStr">
        <is>
          <t>MODEL VALID</t>
        </is>
      </c>
    </row>
    <row r="9">
      <c r="B9" s="11" t="inlineStr">
        <is>
          <t>Valuation Metric</t>
        </is>
      </c>
      <c r="C9" s="12" t="inlineStr">
        <is>
          <t>Base Scenario</t>
        </is>
      </c>
      <c r="D9" s="12" t="inlineStr">
        <is>
          <t>Bull Scenario</t>
        </is>
      </c>
      <c r="E9" s="12" t="inlineStr">
        <is>
          <t>Bear Scenario</t>
        </is>
      </c>
    </row>
    <row r="10">
      <c r="B10" s="20" t="inlineStr">
        <is>
          <t>Implied Share Price (INR)</t>
        </is>
      </c>
      <c r="C10" s="21">
        <f>'35_Scenario_Analysis'!C6</f>
        <v>384.52</v>
      </c>
      <c r="D10" s="21">
        <f>'35_Scenario_Analysis'!D6</f>
        <v>633.9400000000001</v>
      </c>
      <c r="E10" s="21">
        <f>'35_Scenario_Analysis'!E6</f>
        <v>206.99</v>
      </c>
    </row>
    <row r="11">
      <c r="B11" s="7" t="inlineStr">
        <is>
          <t>Enterprise Value (INR Cr)</t>
        </is>
      </c>
      <c r="C11" s="22">
        <f>'35_Scenario_Analysis'!C7</f>
        <v>621614.38</v>
      </c>
      <c r="D11" s="22">
        <f>'35_Scenario_Analysis'!D7</f>
        <v>935375.79</v>
      </c>
      <c r="E11" s="22">
        <f>'35_Scenario_Analysis'!E7</f>
        <v>398296.65</v>
      </c>
    </row>
    <row r="12">
      <c r="B12" s="7" t="inlineStr">
        <is>
          <t>Net Cash / (Debt) (INR Cr)</t>
        </is>
      </c>
      <c r="C12" s="22">
        <f>'35_Scenario_Analysis'!C8</f>
        <v>-137907.04</v>
      </c>
      <c r="D12" s="22">
        <f>'35_Scenario_Analysis'!D8</f>
        <v>-137907.04</v>
      </c>
      <c r="E12" s="22">
        <f>'35_Scenario_Analysis'!E8</f>
        <v>-137907.04</v>
      </c>
    </row>
    <row r="13">
      <c r="B13" s="7" t="inlineStr">
        <is>
          <t>Equity Value (INR Cr)</t>
        </is>
      </c>
      <c r="C13" s="22">
        <f>'35_Scenario_Analysis'!C9</f>
        <v>483707.34</v>
      </c>
      <c r="D13" s="22">
        <f>'35_Scenario_Analysis'!D9</f>
        <v>797468.76</v>
      </c>
      <c r="E13" s="22">
        <f>'35_Scenario_Analysis'!E9</f>
        <v>260389.62</v>
      </c>
    </row>
    <row r="14">
      <c r="B14" s="7" t="inlineStr">
        <is>
          <t>Diluted Shares</t>
        </is>
      </c>
      <c r="C14" s="23">
        <f>'35_Scenario_Analysis'!C10</f>
        <v>1257.9527</v>
      </c>
      <c r="D14" s="23">
        <f>'35_Scenario_Analysis'!D10</f>
        <v>1257.9527</v>
      </c>
      <c r="E14" s="23">
        <f>'35_Scenario_Analysis'!E10</f>
        <v>1257.9527</v>
      </c>
    </row>
    <row r="15">
      <c r="B15" s="7" t="inlineStr">
        <is>
          <t>Discount Rate (WACC %)</t>
        </is>
      </c>
      <c r="C15" s="24">
        <f>'35_Scenario_Analysis'!C11</f>
        <v>0.105567</v>
      </c>
      <c r="D15" s="24">
        <f>'35_Scenario_Analysis'!D11</f>
        <v>0.105567</v>
      </c>
      <c r="E15" s="24">
        <f>'35_Scenario_Analysis'!E11</f>
        <v>0.105567</v>
      </c>
    </row>
    <row r="16">
      <c r="B16" s="7" t="inlineStr">
        <is>
          <t>Terminal Growth Rate %</t>
        </is>
      </c>
      <c r="C16" s="24">
        <f>'35_Scenario_Analysis'!C12</f>
        <v>0.04</v>
      </c>
      <c r="D16" s="24">
        <f>'35_Scenario_Analysis'!D12</f>
        <v>0.04</v>
      </c>
      <c r="E16" s="24">
        <f>'35_Scenario_Analysis'!E12</f>
        <v>0.04</v>
      </c>
    </row>
    <row r="17">
      <c r="B17" s="7" t="inlineStr">
        <is>
          <t>FY31 Revenue (INR Cr)</t>
        </is>
      </c>
      <c r="C17" s="22">
        <f>'35_Scenario_Analysis'!C13</f>
        <v>622105.6758214566</v>
      </c>
      <c r="D17" s="22">
        <f>'35_Scenario_Analysis'!D13</f>
        <v>792948.4995093565</v>
      </c>
      <c r="E17" s="22">
        <f>'35_Scenario_Analysis'!E13</f>
        <v>482066.8074635253</v>
      </c>
    </row>
    <row r="18">
      <c r="B18" s="7" t="inlineStr">
        <is>
          <t>FY31 EBITDA Margin %</t>
        </is>
      </c>
      <c r="C18" s="24">
        <f>'35_Scenario_Analysis'!C14</f>
        <v>0.179833</v>
      </c>
      <c r="D18" s="24">
        <f>'35_Scenario_Analysis'!D14</f>
        <v>0.204833</v>
      </c>
      <c r="E18" s="24">
        <f>'35_Scenario_Analysis'!E14</f>
        <v>0.154833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40" customWidth="1" min="4" max="4"/>
  </cols>
  <sheetData>
    <row r="2">
      <c r="B2" s="3" t="inlineStr">
        <is>
          <t>MODEL CONTROL &amp; SCENARIO SELECTION</t>
        </is>
      </c>
    </row>
    <row r="3">
      <c r="B3" s="10" t="inlineStr">
        <is>
          <t>Global Model Parameters and Active Scenario Toggles</t>
        </is>
      </c>
    </row>
    <row r="5">
      <c r="B5" s="11" t="inlineStr">
        <is>
          <t>Control Parameter</t>
        </is>
      </c>
      <c r="C5" s="12" t="inlineStr">
        <is>
          <t>Current Value</t>
        </is>
      </c>
      <c r="D5" s="12" t="inlineStr">
        <is>
          <t>Description</t>
        </is>
      </c>
    </row>
    <row r="6">
      <c r="B6" s="7" t="inlineStr">
        <is>
          <t>Active Scenario</t>
        </is>
      </c>
      <c r="C6" s="25" t="inlineStr">
        <is>
          <t>base</t>
        </is>
      </c>
      <c r="D6" s="8" t="inlineStr">
        <is>
          <t>Primary scenario driving live model sheets (base / bull / bear)</t>
        </is>
      </c>
    </row>
    <row r="7">
      <c r="B7" s="7" t="inlineStr">
        <is>
          <t>Model Mode</t>
        </is>
      </c>
      <c r="C7" s="25" t="inlineStr">
        <is>
          <t>Analyst Mode</t>
        </is>
      </c>
      <c r="D7" s="8" t="inlineStr">
        <is>
          <t>Full financial modeling mode with 23 detail tabs</t>
        </is>
      </c>
    </row>
    <row r="8">
      <c r="B8" s="7" t="inlineStr">
        <is>
          <t>Taxonomy Mapping</t>
        </is>
      </c>
      <c r="C8" s="25" t="inlineStr">
        <is>
          <t>INDIA Normalized Taxonomy v1.0</t>
        </is>
      </c>
      <c r="D8" s="8" t="inlineStr">
        <is>
          <t>Normalized financial taxonomy registry</t>
        </is>
      </c>
    </row>
    <row r="9">
      <c r="B9" s="7" t="inlineStr">
        <is>
          <t>Model Schema Version</t>
        </is>
      </c>
      <c r="C9" s="25" t="inlineStr">
        <is>
          <t>1.0.0</t>
        </is>
      </c>
      <c r="D9" s="8" t="inlineStr">
        <is>
          <t>Pydantic contract schema version</t>
        </is>
      </c>
    </row>
    <row r="10">
      <c r="B10" s="7" t="inlineStr">
        <is>
          <t>Reporting Currency</t>
        </is>
      </c>
      <c r="C10" s="25" t="inlineStr">
        <is>
          <t>INR</t>
        </is>
      </c>
      <c r="D10" s="8" t="inlineStr">
        <is>
          <t>Company financial statement currency</t>
        </is>
      </c>
    </row>
    <row r="11">
      <c r="B11" s="7" t="inlineStr">
        <is>
          <t>Display Unit Basis</t>
        </is>
      </c>
      <c r="C11" s="25" t="inlineStr">
        <is>
          <t>crores</t>
        </is>
      </c>
      <c r="D11" s="8" t="inlineStr">
        <is>
          <t>Monetary figures in INR Crores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OIL &amp; NATURAL GAS CORPORATION LIMITED — HISTORICAL INCOME STATEMENT</t>
        </is>
      </c>
    </row>
    <row r="3">
      <c r="B3" s="4" t="inlineStr">
        <is>
          <t>Reporting Currency: INR | Units: crores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from Operations</t>
        </is>
      </c>
      <c r="C6" s="27" t="n">
        <v>598644.23</v>
      </c>
      <c r="D6" s="27" t="n">
        <v>608952.91</v>
      </c>
      <c r="E6" s="27" t="n">
        <v>605276.46</v>
      </c>
    </row>
    <row r="7">
      <c r="B7" s="26" t="inlineStr">
        <is>
          <t>Cost of Sales</t>
        </is>
      </c>
      <c r="C7" s="23" t="n">
        <v>458647.17</v>
      </c>
      <c r="D7" s="23" t="n">
        <v>480226.51</v>
      </c>
      <c r="E7" s="23" t="n">
        <v>458103.72</v>
      </c>
    </row>
    <row r="8">
      <c r="B8" s="26" t="inlineStr">
        <is>
          <t>Gross Profit</t>
        </is>
      </c>
      <c r="C8" s="27" t="n">
        <v>139997.07</v>
      </c>
      <c r="D8" s="27" t="n">
        <v>128726.41</v>
      </c>
      <c r="E8" s="27" t="n">
        <v>147172.74</v>
      </c>
    </row>
    <row r="9">
      <c r="B9" s="26" t="inlineStr">
        <is>
          <t>Employee Benefit Expense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Selling &amp; Administrative Expense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</row>
    <row r="11">
      <c r="B11" s="26" t="inlineStr">
        <is>
          <t>Other Operating Expense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Operating Profit (EBIT)</t>
        </is>
      </c>
      <c r="C12" s="27" t="n">
        <v>77045.28</v>
      </c>
      <c r="D12" s="27" t="n">
        <v>63618.41</v>
      </c>
      <c r="E12" s="27" t="n">
        <v>81827.62</v>
      </c>
    </row>
    <row r="13">
      <c r="B13" s="26" t="inlineStr">
        <is>
          <t>Depreciation &amp; Amortization</t>
        </is>
      </c>
      <c r="C13" s="23" t="n">
        <v>31514.93</v>
      </c>
      <c r="D13" s="23" t="n">
        <v>34692.8</v>
      </c>
      <c r="E13" s="23" t="n">
        <v>37262.54</v>
      </c>
    </row>
    <row r="14">
      <c r="B14" s="26" t="inlineStr">
        <is>
          <t>EBITDA</t>
        </is>
      </c>
      <c r="C14" s="27" t="n">
        <v>108560.21</v>
      </c>
      <c r="D14" s="27" t="n">
        <v>98311.21000000001</v>
      </c>
      <c r="E14" s="27" t="n">
        <v>119090.17</v>
      </c>
    </row>
    <row r="15">
      <c r="B15" s="26" t="inlineStr">
        <is>
          <t>Other Income</t>
        </is>
      </c>
      <c r="C15" s="23" t="n">
        <v>5001.44</v>
      </c>
      <c r="D15" s="23" t="n">
        <v>5106.04</v>
      </c>
      <c r="E15" s="23" t="n">
        <v>5018.48</v>
      </c>
    </row>
    <row r="16">
      <c r="B16" s="26" t="inlineStr">
        <is>
          <t>Finance Cost / Interest Expense</t>
        </is>
      </c>
      <c r="C16" s="23" t="n">
        <v>11742.42</v>
      </c>
      <c r="D16" s="23" t="n">
        <v>12291.16</v>
      </c>
      <c r="E16" s="23" t="n">
        <v>10722.95</v>
      </c>
    </row>
    <row r="17">
      <c r="B17" s="26" t="inlineStr">
        <is>
          <t>Profit Before Tax (PBT)</t>
        </is>
      </c>
      <c r="C17" s="27" t="n">
        <v>73629.21000000001</v>
      </c>
      <c r="D17" s="27" t="n">
        <v>52397.88</v>
      </c>
      <c r="E17" s="27" t="n">
        <v>67622.95</v>
      </c>
    </row>
    <row r="18">
      <c r="B18" s="26" t="inlineStr">
        <is>
          <t>Income Tax Expense</t>
        </is>
      </c>
      <c r="C18" s="23" t="n">
        <v>18356.07</v>
      </c>
      <c r="D18" s="23" t="n">
        <v>14069.27</v>
      </c>
      <c r="E18" s="23" t="n">
        <v>17829.84</v>
      </c>
    </row>
    <row r="19">
      <c r="B19" s="26" t="inlineStr">
        <is>
          <t>Net Profit After Tax</t>
        </is>
      </c>
      <c r="C19" s="27" t="n">
        <v>49143.93</v>
      </c>
      <c r="D19" s="27" t="n">
        <v>36225.62</v>
      </c>
      <c r="E19" s="27" t="n">
        <v>41424.38</v>
      </c>
    </row>
    <row r="20">
      <c r="B20" s="26" t="inlineStr">
        <is>
          <t>Basic EPS (INR)</t>
        </is>
      </c>
      <c r="C20" s="28" t="inlineStr">
        <is>
          <t>-</t>
        </is>
      </c>
      <c r="D20" s="28" t="inlineStr">
        <is>
          <t>-</t>
        </is>
      </c>
      <c r="E20" s="28" t="inlineStr">
        <is>
          <t>-</t>
        </is>
      </c>
    </row>
    <row r="21">
      <c r="B21" s="26" t="inlineStr">
        <is>
          <t>Diluted EPS (INR)</t>
        </is>
      </c>
      <c r="C21" s="28" t="n">
        <v>39.06</v>
      </c>
      <c r="D21" s="28" t="n">
        <v>28.8</v>
      </c>
      <c r="E21" s="28" t="n">
        <v>32.93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OIL &amp; NATURAL GAS CORPORATION LIMITED — HISTORICAL BALANCE SHEET</t>
        </is>
      </c>
    </row>
    <row r="3">
      <c r="B3" s="4" t="inlineStr">
        <is>
          <t>Reporting Currency: INR | Units: crores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Property, Plant &amp; Equipment</t>
        </is>
      </c>
      <c r="C6" s="23" t="n">
        <v>422641.73</v>
      </c>
      <c r="D6" s="23" t="n">
        <v>439944.17</v>
      </c>
      <c r="E6" s="23" t="n">
        <v>448501.23</v>
      </c>
    </row>
    <row r="7">
      <c r="B7" s="26" t="inlineStr">
        <is>
          <t>Capital Work-in-Progress</t>
        </is>
      </c>
      <c r="C7" s="23" t="n">
        <v>25802.95</v>
      </c>
      <c r="D7" s="23" t="n">
        <v>23751.61</v>
      </c>
      <c r="E7" s="23" t="n">
        <v>13926.87</v>
      </c>
    </row>
    <row r="8">
      <c r="B8" s="26" t="inlineStr">
        <is>
          <t>Goodwill</t>
        </is>
      </c>
      <c r="C8" s="23" t="inlineStr">
        <is>
          <t>-</t>
        </is>
      </c>
      <c r="D8" s="23" t="inlineStr">
        <is>
          <t>-</t>
        </is>
      </c>
      <c r="E8" s="23" t="inlineStr">
        <is>
          <t>-</t>
        </is>
      </c>
    </row>
    <row r="9">
      <c r="B9" s="26" t="inlineStr">
        <is>
          <t>Intangible Assets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Non-Current Investments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</row>
    <row r="11">
      <c r="B11" s="26" t="inlineStr">
        <is>
          <t>Deferred Tax Assets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Total Non-Current Assets</t>
        </is>
      </c>
      <c r="C12" s="27" t="inlineStr">
        <is>
          <t>-</t>
        </is>
      </c>
      <c r="D12" s="27" t="inlineStr">
        <is>
          <t>-</t>
        </is>
      </c>
      <c r="E12" s="27" t="inlineStr">
        <is>
          <t>-</t>
        </is>
      </c>
    </row>
    <row r="13">
      <c r="B13" s="26" t="inlineStr">
        <is>
          <t>Trade Receivables</t>
        </is>
      </c>
      <c r="C13" s="23" t="n">
        <v>19704.13</v>
      </c>
      <c r="D13" s="23" t="n">
        <v>21227.8</v>
      </c>
      <c r="E13" s="23" t="n">
        <v>22014.48</v>
      </c>
    </row>
    <row r="14">
      <c r="B14" s="26" t="inlineStr">
        <is>
          <t>Unbilled Revenue</t>
        </is>
      </c>
      <c r="C14" s="23" t="inlineStr">
        <is>
          <t>-</t>
        </is>
      </c>
      <c r="D14" s="23" t="inlineStr">
        <is>
          <t>-</t>
        </is>
      </c>
      <c r="E14" s="23" t="inlineStr">
        <is>
          <t>-</t>
        </is>
      </c>
    </row>
    <row r="15">
      <c r="B15" s="26" t="inlineStr">
        <is>
          <t>Cash &amp; Cash Equivalents</t>
        </is>
      </c>
      <c r="C15" s="23" t="n">
        <v>45704.68</v>
      </c>
      <c r="D15" s="23" t="n">
        <v>30341.62</v>
      </c>
      <c r="E15" s="23" t="n">
        <v>36392.1</v>
      </c>
    </row>
    <row r="16">
      <c r="B16" s="26" t="inlineStr">
        <is>
          <t>Current Investments</t>
        </is>
      </c>
      <c r="C16" s="23" t="n">
        <v>41444.93</v>
      </c>
      <c r="D16" s="23" t="inlineStr">
        <is>
          <t>-</t>
        </is>
      </c>
      <c r="E16" s="23" t="inlineStr">
        <is>
          <t>-</t>
        </is>
      </c>
    </row>
    <row r="17">
      <c r="B17" s="26" t="inlineStr">
        <is>
          <t>Total Current Assets</t>
        </is>
      </c>
      <c r="C17" s="27" t="inlineStr">
        <is>
          <t>-</t>
        </is>
      </c>
      <c r="D17" s="27" t="inlineStr">
        <is>
          <t>-</t>
        </is>
      </c>
      <c r="E17" s="27" t="inlineStr">
        <is>
          <t>-</t>
        </is>
      </c>
    </row>
    <row r="18">
      <c r="B18" s="26" t="inlineStr">
        <is>
          <t>TOTAL ASSETS</t>
        </is>
      </c>
      <c r="C18" s="27" t="n">
        <v>741997.92</v>
      </c>
      <c r="D18" s="27" t="n">
        <v>758723.1</v>
      </c>
      <c r="E18" s="27" t="n">
        <v>791905.1800000001</v>
      </c>
    </row>
    <row r="19">
      <c r="B19" s="26" t="inlineStr">
        <is>
          <t>Equity Share Capital</t>
        </is>
      </c>
      <c r="C19" s="23" t="n">
        <v>1258.03</v>
      </c>
      <c r="D19" s="23" t="n">
        <v>1258.03</v>
      </c>
      <c r="E19" s="23" t="n">
        <v>1258.03</v>
      </c>
    </row>
    <row r="20">
      <c r="B20" s="26" t="inlineStr">
        <is>
          <t>Total Equity / Net Worth</t>
        </is>
      </c>
      <c r="C20" s="27" t="inlineStr">
        <is>
          <t>-</t>
        </is>
      </c>
      <c r="D20" s="27" t="inlineStr">
        <is>
          <t>-</t>
        </is>
      </c>
      <c r="E20" s="27" t="inlineStr">
        <is>
          <t>-</t>
        </is>
      </c>
    </row>
    <row r="21">
      <c r="B21" s="26" t="inlineStr">
        <is>
          <t>Trade Payables</t>
        </is>
      </c>
      <c r="C21" s="23" t="inlineStr">
        <is>
          <t>-</t>
        </is>
      </c>
      <c r="D21" s="23" t="inlineStr">
        <is>
          <t>-</t>
        </is>
      </c>
      <c r="E21" s="23" t="inlineStr">
        <is>
          <t>-</t>
        </is>
      </c>
    </row>
    <row r="22">
      <c r="B22" s="26" t="inlineStr">
        <is>
          <t>TOTAL LIABILITIES &amp; EQUITY</t>
        </is>
      </c>
      <c r="C22" s="27" t="n">
        <v>741997.92</v>
      </c>
      <c r="D22" s="27" t="n">
        <v>758723.1</v>
      </c>
      <c r="E22" s="27" t="n">
        <v>791905.1800000001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OIL &amp; NATURAL GAS CORPORATION LIMITED — HISTORICAL CASH FLOW STATEMENT</t>
        </is>
      </c>
    </row>
    <row r="3">
      <c r="B3" s="4" t="inlineStr">
        <is>
          <t>Reporting Currency: INR | Units: crores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Net Cash from Operating Activities</t>
        </is>
      </c>
      <c r="C6" s="27" t="n">
        <v>98846.60000000001</v>
      </c>
      <c r="D6" s="27" t="n">
        <v>90855.60000000001</v>
      </c>
      <c r="E6" s="27" t="n">
        <v>112719.34</v>
      </c>
    </row>
    <row r="7">
      <c r="B7" s="26" t="inlineStr">
        <is>
          <t>Income Taxes Paid</t>
        </is>
      </c>
      <c r="C7" s="23" t="inlineStr">
        <is>
          <t>-</t>
        </is>
      </c>
      <c r="D7" s="23" t="inlineStr">
        <is>
          <t>-</t>
        </is>
      </c>
      <c r="E7" s="23" t="inlineStr">
        <is>
          <t>-</t>
        </is>
      </c>
    </row>
    <row r="8">
      <c r="B8" s="26" t="inlineStr">
        <is>
          <t>Net Cash used in Investing Activities (Capex)</t>
        </is>
      </c>
      <c r="C8" s="27" t="n">
        <v>-57485.02</v>
      </c>
      <c r="D8" s="27" t="n">
        <v>-42999.04</v>
      </c>
      <c r="E8" s="27" t="n">
        <v>-57675.86</v>
      </c>
    </row>
    <row r="9">
      <c r="B9" s="26" t="inlineStr">
        <is>
          <t>Business Acquisitions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Net Cash used in Financing Activities</t>
        </is>
      </c>
      <c r="C10" s="27" t="n">
        <v>-45009.25</v>
      </c>
      <c r="D10" s="27" t="n">
        <v>-47908.45</v>
      </c>
      <c r="E10" s="27" t="n">
        <v>-56330.73</v>
      </c>
    </row>
    <row r="11">
      <c r="B11" s="26" t="inlineStr">
        <is>
          <t>Dividends Paid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NET CHANGE IN CASH &amp; CASH EQUIVALENTS</t>
        </is>
      </c>
      <c r="C12" s="27" t="inlineStr">
        <is>
          <t>-</t>
        </is>
      </c>
      <c r="D12" s="27" t="inlineStr">
        <is>
          <t>-</t>
        </is>
      </c>
      <c r="E12" s="27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OIL &amp; NATURAL GAS CORPORATION LIMITED — HISTORICAL FINANCIAL RATIOS</t>
        </is>
      </c>
    </row>
    <row r="5">
      <c r="B5" s="11" t="inlineStr">
        <is>
          <t>Metric / Ratio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YoY Growth %</t>
        </is>
      </c>
      <c r="C6" s="24" t="inlineStr">
        <is>
          <t>-</t>
        </is>
      </c>
      <c r="D6" s="24" t="n">
        <v>0.0172</v>
      </c>
      <c r="E6" s="24" t="n">
        <v>-0.006</v>
      </c>
    </row>
    <row r="7">
      <c r="B7" s="26" t="inlineStr">
        <is>
          <t>EBITDA Margin %</t>
        </is>
      </c>
      <c r="C7" s="24" t="n">
        <v>0.1813</v>
      </c>
      <c r="D7" s="24" t="n">
        <v>0.1614</v>
      </c>
      <c r="E7" s="24" t="n">
        <v>0.1968</v>
      </c>
    </row>
    <row r="8">
      <c r="B8" s="26" t="inlineStr">
        <is>
          <t>Operating Margin (EBIT) %</t>
        </is>
      </c>
      <c r="C8" s="24" t="n">
        <v>0.1287</v>
      </c>
      <c r="D8" s="24" t="n">
        <v>0.1045</v>
      </c>
      <c r="E8" s="24" t="n">
        <v>0.1352</v>
      </c>
    </row>
    <row r="9">
      <c r="B9" s="26" t="inlineStr">
        <is>
          <t>Net Margin %</t>
        </is>
      </c>
      <c r="C9" s="24" t="n">
        <v>0.08210000000000001</v>
      </c>
      <c r="D9" s="24" t="n">
        <v>0.0595</v>
      </c>
      <c r="E9" s="24" t="n">
        <v>0.0684</v>
      </c>
    </row>
    <row r="10">
      <c r="B10" s="26" t="inlineStr">
        <is>
          <t>Effective Tax Rate %</t>
        </is>
      </c>
      <c r="C10" s="24" t="n">
        <v>0.2493</v>
      </c>
      <c r="D10" s="24" t="n">
        <v>0.2685</v>
      </c>
      <c r="E10" s="24" t="n">
        <v>0.2637</v>
      </c>
    </row>
    <row r="11">
      <c r="B11" s="26" t="inlineStr">
        <is>
          <t>Days Sales Outstanding (DSO)</t>
        </is>
      </c>
      <c r="C11" s="29" t="n">
        <v>12.0138</v>
      </c>
      <c r="D11" s="29" t="n">
        <v>12.7237</v>
      </c>
      <c r="E11" s="29" t="n">
        <v>13.2754</v>
      </c>
    </row>
    <row r="12">
      <c r="B12" s="26" t="inlineStr">
        <is>
          <t>Days Payables Outstanding (DPO)</t>
        </is>
      </c>
      <c r="C12" s="29" t="inlineStr">
        <is>
          <t>-</t>
        </is>
      </c>
      <c r="D12" s="29" t="inlineStr">
        <is>
          <t>-</t>
        </is>
      </c>
      <c r="E12" s="29" t="inlineStr">
        <is>
          <t>-</t>
        </is>
      </c>
    </row>
    <row r="13">
      <c r="B13" s="26" t="inlineStr">
        <is>
          <t>D&amp;A % Revenue</t>
        </is>
      </c>
      <c r="C13" s="24" t="n">
        <v>0.0526</v>
      </c>
      <c r="D13" s="24" t="n">
        <v>0.057</v>
      </c>
      <c r="E13" s="24" t="n">
        <v>0.0616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OIL &amp; NATURAL GAS CORPORATION LIMITED — HISTORICAL DRIVER INPUTS</t>
        </is>
      </c>
    </row>
    <row r="5">
      <c r="B5" s="11" t="inlineStr">
        <is>
          <t>Driver Name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Growth Rate %</t>
        </is>
      </c>
      <c r="C6" s="24" t="inlineStr">
        <is>
          <t>-</t>
        </is>
      </c>
      <c r="D6" s="24" t="n">
        <v>0.0172</v>
      </c>
      <c r="E6" s="24" t="n">
        <v>-0.006</v>
      </c>
    </row>
    <row r="7">
      <c r="B7" s="26" t="inlineStr">
        <is>
          <t>EBITDA Margin %</t>
        </is>
      </c>
      <c r="C7" s="24" t="n">
        <v>0.1813</v>
      </c>
      <c r="D7" s="24" t="n">
        <v>0.1614</v>
      </c>
      <c r="E7" s="24" t="n">
        <v>0.1968</v>
      </c>
    </row>
    <row r="8">
      <c r="B8" s="26" t="inlineStr">
        <is>
          <t>Operating Margin %</t>
        </is>
      </c>
      <c r="C8" s="24" t="n">
        <v>0.1287</v>
      </c>
      <c r="D8" s="24" t="n">
        <v>0.1045</v>
      </c>
      <c r="E8" s="24" t="n">
        <v>0.1352</v>
      </c>
    </row>
    <row r="9">
      <c r="B9" s="26" t="inlineStr">
        <is>
          <t>D&amp;A % Revenue</t>
        </is>
      </c>
      <c r="C9" s="24" t="n">
        <v>0.0526</v>
      </c>
      <c r="D9" s="24" t="n">
        <v>0.057</v>
      </c>
      <c r="E9" s="24" t="n">
        <v>0.0616</v>
      </c>
    </row>
    <row r="10">
      <c r="B10" s="26" t="inlineStr">
        <is>
          <t>Effective Tax Rate %</t>
        </is>
      </c>
      <c r="C10" s="24" t="n">
        <v>0.2493</v>
      </c>
      <c r="D10" s="24" t="n">
        <v>0.2685</v>
      </c>
      <c r="E10" s="24" t="n">
        <v>0.2637</v>
      </c>
    </row>
    <row r="11">
      <c r="B11" s="26" t="inlineStr">
        <is>
          <t>DSO (Days)</t>
        </is>
      </c>
      <c r="C11" s="29" t="n">
        <v>12.0138</v>
      </c>
      <c r="D11" s="29" t="n">
        <v>12.7237</v>
      </c>
      <c r="E11" s="29" t="n">
        <v>13.2754</v>
      </c>
    </row>
    <row r="12">
      <c r="B12" s="26" t="inlineStr">
        <is>
          <t>DPO (Days)</t>
        </is>
      </c>
      <c r="C12" s="29" t="inlineStr">
        <is>
          <t>-</t>
        </is>
      </c>
      <c r="D12" s="29" t="inlineStr">
        <is>
          <t>-</t>
        </is>
      </c>
      <c r="E12" s="29" t="inlineStr">
        <is>
          <t>-</t>
        </is>
      </c>
    </row>
    <row r="13">
      <c r="B13" s="26" t="inlineStr">
        <is>
          <t>Capex % Revenue</t>
        </is>
      </c>
      <c r="C13" s="24" t="n">
        <v>0.0871</v>
      </c>
      <c r="D13" s="24" t="n">
        <v>0.0914</v>
      </c>
      <c r="E13" s="24" t="n">
        <v>0.0892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OIL &amp; NATURAL GAS CORPORATION LIMITED — FORECAST OPERATING MODEL</t>
        </is>
      </c>
    </row>
    <row r="3">
      <c r="B3" s="4" t="inlineStr">
        <is>
          <t>Scenario: Base Case | Reporting Currency: INR | Units: crores</t>
        </is>
      </c>
    </row>
    <row r="5">
      <c r="B5" s="11" t="inlineStr">
        <is>
          <t>Line Item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Revenue from Operations</t>
        </is>
      </c>
      <c r="C6" s="27">
        <f>'21_Revenue_Build'!C7</f>
        <v>608605.48</v>
      </c>
      <c r="D6" s="27">
        <f>'21_Revenue_Build'!D7</f>
        <v>611952.8100000001</v>
      </c>
      <c r="E6" s="27">
        <f>'21_Revenue_Build'!E7</f>
        <v>615318.55</v>
      </c>
      <c r="F6" s="27">
        <f>'21_Revenue_Build'!F7</f>
        <v>618702.8</v>
      </c>
      <c r="G6" s="27">
        <f>'21_Revenue_Build'!G7</f>
        <v>622105.67</v>
      </c>
    </row>
    <row r="7">
      <c r="B7" s="26" t="inlineStr">
        <is>
          <t>Cost of Sales</t>
        </is>
      </c>
      <c r="C7" s="23">
        <f>C6-C8</f>
        <v>460623.29</v>
      </c>
      <c r="D7" s="23">
        <f>D6-D8</f>
        <v>463156.71</v>
      </c>
      <c r="E7" s="23">
        <f>E6-E8</f>
        <v>465704.08</v>
      </c>
      <c r="F7" s="23">
        <f>F6-F8</f>
        <v>468265.45</v>
      </c>
      <c r="G7" s="23">
        <f>G6-G8</f>
        <v>470840.91</v>
      </c>
    </row>
    <row r="8">
      <c r="B8" s="26" t="inlineStr">
        <is>
          <t>Gross Profit</t>
        </is>
      </c>
      <c r="C8" s="27" t="n">
        <v>147982.19</v>
      </c>
      <c r="D8" s="27" t="n">
        <v>148796.1</v>
      </c>
      <c r="E8" s="27" t="n">
        <v>149614.47</v>
      </c>
      <c r="F8" s="27" t="n">
        <v>150437.35</v>
      </c>
      <c r="G8" s="27" t="n">
        <v>151264.76</v>
      </c>
    </row>
    <row r="9">
      <c r="B9" s="26" t="inlineStr">
        <is>
          <t>EBITDA</t>
        </is>
      </c>
      <c r="C9" s="27">
        <f>'22_Cost_Build'!C7</f>
        <v>109447.35</v>
      </c>
      <c r="D9" s="27">
        <f>'22_Cost_Build'!D7</f>
        <v>110049.31</v>
      </c>
      <c r="E9" s="27">
        <f>'22_Cost_Build'!E7</f>
        <v>110654.58</v>
      </c>
      <c r="F9" s="27">
        <f>'22_Cost_Build'!F7</f>
        <v>111263.18</v>
      </c>
      <c r="G9" s="27">
        <f>'22_Cost_Build'!G7</f>
        <v>111875.13</v>
      </c>
    </row>
    <row r="10">
      <c r="B10" s="26" t="inlineStr">
        <is>
          <t>Depreciation &amp; Amortization</t>
        </is>
      </c>
      <c r="C10" s="23">
        <f>'24_Capex_D&amp;A'!C9</f>
        <v>34731.29</v>
      </c>
      <c r="D10" s="23">
        <f>'24_Capex_D&amp;A'!D9</f>
        <v>34922.31</v>
      </c>
      <c r="E10" s="23">
        <f>'24_Capex_D&amp;A'!E9</f>
        <v>35114.38</v>
      </c>
      <c r="F10" s="23">
        <f>'24_Capex_D&amp;A'!F9</f>
        <v>35307.51</v>
      </c>
      <c r="G10" s="23">
        <f>'24_Capex_D&amp;A'!G9</f>
        <v>35501.7</v>
      </c>
    </row>
    <row r="11">
      <c r="B11" s="26" t="inlineStr">
        <is>
          <t>Operating Profit (EBIT)</t>
        </is>
      </c>
      <c r="C11" s="27">
        <f>C9-C10</f>
        <v>74736.75</v>
      </c>
      <c r="D11" s="27">
        <f>D9-D10</f>
        <v>75147.8</v>
      </c>
      <c r="E11" s="27">
        <f>E9-E10</f>
        <v>75561.12</v>
      </c>
      <c r="F11" s="27">
        <f>F9-F10</f>
        <v>75976.7</v>
      </c>
      <c r="G11" s="27">
        <f>G9-G10</f>
        <v>76394.58</v>
      </c>
    </row>
    <row r="12">
      <c r="B12" s="26" t="inlineStr">
        <is>
          <t>Other Income</t>
        </is>
      </c>
      <c r="C12" s="23" t="n">
        <v>5046.09</v>
      </c>
      <c r="D12" s="23" t="n">
        <v>5073.84</v>
      </c>
      <c r="E12" s="23" t="n">
        <v>5101.75</v>
      </c>
      <c r="F12" s="23" t="n">
        <v>5129.81</v>
      </c>
      <c r="G12" s="23" t="n">
        <v>5158.02</v>
      </c>
    </row>
    <row r="13">
      <c r="B13" s="26" t="inlineStr">
        <is>
          <t>Finance Cost</t>
        </is>
      </c>
      <c r="C13" s="23">
        <f>'25_Debt_Schedule'!C11</f>
        <v>10781.93</v>
      </c>
      <c r="D13" s="23">
        <f>'25_Debt_Schedule'!D11</f>
        <v>10841.23</v>
      </c>
      <c r="E13" s="23">
        <f>'25_Debt_Schedule'!E11</f>
        <v>10900.85</v>
      </c>
      <c r="F13" s="23">
        <f>'25_Debt_Schedule'!F11</f>
        <v>10960.81</v>
      </c>
      <c r="G13" s="23">
        <f>'25_Debt_Schedule'!G11</f>
        <v>11021.09</v>
      </c>
    </row>
    <row r="14">
      <c r="B14" s="26" t="inlineStr">
        <is>
          <t>Profit Before Tax (PBT)</t>
        </is>
      </c>
      <c r="C14" s="27">
        <f>C11+C12-C13</f>
        <v>69000.91</v>
      </c>
      <c r="D14" s="27">
        <f>D11+D12-D13</f>
        <v>69380.42</v>
      </c>
      <c r="E14" s="27">
        <f>E11+E12-E13</f>
        <v>69762.00999999999</v>
      </c>
      <c r="F14" s="27">
        <f>F11+F12-F13</f>
        <v>70145.7</v>
      </c>
      <c r="G14" s="27">
        <f>G11+G12-G13</f>
        <v>70531.5</v>
      </c>
    </row>
    <row r="15">
      <c r="B15" s="26" t="inlineStr">
        <is>
          <t>Tax Expense</t>
        </is>
      </c>
      <c r="C15" s="23">
        <f>C14*'26_Tax_Schedule'!C6</f>
        <v>17974.74</v>
      </c>
      <c r="D15" s="23">
        <f>D14*'26_Tax_Schedule'!D6</f>
        <v>18073.6</v>
      </c>
      <c r="E15" s="23">
        <f>E14*'26_Tax_Schedule'!E6</f>
        <v>18019.53</v>
      </c>
      <c r="F15" s="23">
        <f>F14*'26_Tax_Schedule'!F6</f>
        <v>17964.31</v>
      </c>
      <c r="G15" s="23">
        <f>G14*'26_Tax_Schedule'!G6</f>
        <v>17907.95</v>
      </c>
    </row>
    <row r="16">
      <c r="B16" s="26" t="inlineStr">
        <is>
          <t>Net Profit After Tax</t>
        </is>
      </c>
      <c r="C16" s="27">
        <f>C14-C15</f>
        <v>51026.18</v>
      </c>
      <c r="D16" s="27">
        <f>D14-D15</f>
        <v>51306.82</v>
      </c>
      <c r="E16" s="27">
        <f>E14-E15</f>
        <v>51742.48</v>
      </c>
      <c r="F16" s="27">
        <f>F14-F15</f>
        <v>52181.39</v>
      </c>
      <c r="G16" s="27">
        <f>G14-G15</f>
        <v>52623.56</v>
      </c>
    </row>
    <row r="17">
      <c r="B17" s="26" t="inlineStr">
        <is>
          <t>Trade Receivables</t>
        </is>
      </c>
      <c r="C17" s="23">
        <f>'23_Working_Capital'!C7</f>
        <v>22176.58</v>
      </c>
      <c r="D17" s="23">
        <f>'23_Working_Capital'!D7</f>
        <v>22298.55</v>
      </c>
      <c r="E17" s="23">
        <f>'23_Working_Capital'!E7</f>
        <v>22421.2</v>
      </c>
      <c r="F17" s="23">
        <f>'23_Working_Capital'!F7</f>
        <v>22544.51</v>
      </c>
      <c r="G17" s="23">
        <f>'23_Working_Capital'!G7</f>
        <v>22668.51</v>
      </c>
    </row>
    <row r="18">
      <c r="B18" s="26" t="inlineStr">
        <is>
          <t>Trade Payables</t>
        </is>
      </c>
      <c r="C18" s="23">
        <f>'23_Working_Capital'!C9</f>
        <v>17667.74</v>
      </c>
      <c r="D18" s="23">
        <f>'23_Working_Capital'!D9</f>
        <v>17764.92</v>
      </c>
      <c r="E18" s="23">
        <f>'23_Working_Capital'!E9</f>
        <v>17862.62</v>
      </c>
      <c r="F18" s="23">
        <f>'23_Working_Capital'!F9</f>
        <v>17960.87</v>
      </c>
      <c r="G18" s="23">
        <f>'23_Working_Capital'!G9</f>
        <v>18059.65</v>
      </c>
    </row>
    <row r="19">
      <c r="B19" s="26" t="inlineStr">
        <is>
          <t>Cash &amp; Cash Equivalents</t>
        </is>
      </c>
      <c r="C19" s="23" t="n">
        <v>64939.47</v>
      </c>
      <c r="D19" s="23" t="n">
        <v>78207.32000000001</v>
      </c>
      <c r="E19" s="23" t="n">
        <v>94393.16</v>
      </c>
      <c r="F19" s="23" t="n">
        <v>112974.95</v>
      </c>
      <c r="G19" s="23" t="n">
        <v>133978.56</v>
      </c>
    </row>
    <row r="20">
      <c r="B20" s="26" t="inlineStr">
        <is>
          <t>Total Assets</t>
        </is>
      </c>
      <c r="C20" s="27" t="n">
        <v>840188.63</v>
      </c>
      <c r="D20" s="27" t="n">
        <v>871069.89</v>
      </c>
      <c r="E20" s="27" t="n">
        <v>902213.09</v>
      </c>
      <c r="F20" s="27" t="n">
        <v>933620.17</v>
      </c>
      <c r="G20" s="27" t="n">
        <v>965293.09</v>
      </c>
    </row>
    <row r="21">
      <c r="B21" s="26" t="inlineStr">
        <is>
          <t>Total Equity</t>
        </is>
      </c>
      <c r="C21" s="27" t="n">
        <v>30615.71</v>
      </c>
      <c r="D21" s="27" t="n">
        <v>61399.8</v>
      </c>
      <c r="E21" s="27" t="n">
        <v>92445.28999999999</v>
      </c>
      <c r="F21" s="27" t="n">
        <v>123754.12</v>
      </c>
      <c r="G21" s="27" t="n">
        <v>155328.25</v>
      </c>
    </row>
    <row r="22">
      <c r="B22" s="26" t="inlineStr">
        <is>
          <t>Total Liabilities &amp; Equity</t>
        </is>
      </c>
      <c r="C22" s="27">
        <f>C20</f>
        <v>840188.63</v>
      </c>
      <c r="D22" s="27">
        <f>D20</f>
        <v>871069.89</v>
      </c>
      <c r="E22" s="27">
        <f>E20</f>
        <v>902213.09</v>
      </c>
      <c r="F22" s="27">
        <f>F20</f>
        <v>933620.17</v>
      </c>
      <c r="G22" s="27">
        <f>G20</f>
        <v>965293.09</v>
      </c>
    </row>
    <row r="23">
      <c r="B23" s="26" t="inlineStr">
        <is>
          <t>Operating Cash Flow</t>
        </is>
      </c>
      <c r="C23" s="27" t="n">
        <v>103263.1</v>
      </c>
      <c r="D23" s="27" t="n">
        <v>86204.33</v>
      </c>
      <c r="E23" s="27" t="n">
        <v>86831.92999999999</v>
      </c>
      <c r="F23" s="27" t="n">
        <v>87463.83</v>
      </c>
      <c r="G23" s="27" t="n">
        <v>88100.05</v>
      </c>
    </row>
    <row r="24">
      <c r="B24" s="26" t="inlineStr">
        <is>
          <t>Investing Cash Flow (Capex)</t>
        </is>
      </c>
      <c r="C24" s="27">
        <f>'24_Capex_D&amp;A'!C7</f>
        <v>-54305.26</v>
      </c>
      <c r="D24" s="27">
        <f>'24_Capex_D&amp;A'!D7</f>
        <v>-52413.76</v>
      </c>
      <c r="E24" s="27">
        <f>'24_Capex_D&amp;A'!E7</f>
        <v>-49949.1</v>
      </c>
      <c r="F24" s="27">
        <f>'24_Capex_D&amp;A'!F7</f>
        <v>-48009.48</v>
      </c>
      <c r="G24" s="27">
        <f>'24_Capex_D&amp;A'!G7</f>
        <v>-46047.02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REVENUE BUILD &amp; YoY GROWTH FORECAST</t>
        </is>
      </c>
    </row>
    <row r="5">
      <c r="B5" s="11" t="inlineStr">
        <is>
          <t>Segment / Driver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Assumed Revenue Growth Rate %</t>
        </is>
      </c>
      <c r="C6" s="30" t="n">
        <v>0.005500000000000001</v>
      </c>
      <c r="D6" s="30" t="n">
        <v>0.005500000000000001</v>
      </c>
      <c r="E6" s="30" t="n">
        <v>0.005500000000000001</v>
      </c>
      <c r="F6" s="30" t="n">
        <v>0.005500000000000001</v>
      </c>
      <c r="G6" s="30" t="n">
        <v>0.005500000000000001</v>
      </c>
    </row>
    <row r="7">
      <c r="B7" s="26" t="inlineStr">
        <is>
          <t>Consolidated Revenue (INR Cr)</t>
        </is>
      </c>
      <c r="C7" s="27">
        <f>'10_Income_Statement'!E6*(1+C6)</f>
        <v>608605.48</v>
      </c>
      <c r="D7" s="27">
        <f>C7*(1+D6)</f>
        <v>611952.8100000001</v>
      </c>
      <c r="E7" s="27">
        <f>D7*(1+E6)</f>
        <v>615318.55</v>
      </c>
      <c r="F7" s="27">
        <f>E7*(1+F6)</f>
        <v>618702.8</v>
      </c>
      <c r="G7" s="27">
        <f>F7*(1+G6)</f>
        <v>622105.67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COST BUILD &amp; MARGIN FORECAST</t>
        </is>
      </c>
    </row>
    <row r="5">
      <c r="B5" s="11" t="inlineStr">
        <is>
          <t>Cost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EBITDA Margin %</t>
        </is>
      </c>
      <c r="C6" s="30" t="n">
        <v>0.179833</v>
      </c>
      <c r="D6" s="30" t="n">
        <v>0.179833</v>
      </c>
      <c r="E6" s="30" t="n">
        <v>0.179833</v>
      </c>
      <c r="F6" s="30" t="n">
        <v>0.179833</v>
      </c>
      <c r="G6" s="30" t="n">
        <v>0.179833</v>
      </c>
    </row>
    <row r="7">
      <c r="B7" s="26" t="inlineStr">
        <is>
          <t>EBITDA (INR Cr)</t>
        </is>
      </c>
      <c r="C7" s="27">
        <f>'21_Revenue_Build'!C7*C6</f>
        <v>109447.35</v>
      </c>
      <c r="D7" s="27">
        <f>'21_Revenue_Build'!D7*D6</f>
        <v>110049.31</v>
      </c>
      <c r="E7" s="27">
        <f>'21_Revenue_Build'!E7*E6</f>
        <v>110654.58</v>
      </c>
      <c r="F7" s="27">
        <f>'21_Revenue_Build'!F7*F6</f>
        <v>111263.18</v>
      </c>
      <c r="G7" s="27">
        <f>'21_Revenue_Build'!G7*G6</f>
        <v>111875.13</v>
      </c>
    </row>
    <row r="8">
      <c r="B8" s="26" t="inlineStr">
        <is>
          <t>Operating Profit Margin %</t>
        </is>
      </c>
      <c r="C8" s="30" t="n">
        <v>0.1228</v>
      </c>
      <c r="D8" s="30" t="n">
        <v>0.1228</v>
      </c>
      <c r="E8" s="30" t="n">
        <v>0.1228</v>
      </c>
      <c r="F8" s="30" t="n">
        <v>0.1228</v>
      </c>
      <c r="G8" s="30" t="n">
        <v>0.1228</v>
      </c>
    </row>
    <row r="9">
      <c r="B9" s="26" t="inlineStr">
        <is>
          <t>Operating Profit (INR Cr)</t>
        </is>
      </c>
      <c r="C9" s="27">
        <f>'21_Revenue_Build'!C7*C8</f>
        <v>74736.75</v>
      </c>
      <c r="D9" s="27">
        <f>'21_Revenue_Build'!D7*D8</f>
        <v>75147.8</v>
      </c>
      <c r="E9" s="27">
        <f>'21_Revenue_Build'!E7*E8</f>
        <v>75561.12</v>
      </c>
      <c r="F9" s="27">
        <f>'21_Revenue_Build'!F7*F8</f>
        <v>75976.7</v>
      </c>
      <c r="G9" s="27">
        <f>'21_Revenue_Build'!G7*G8</f>
        <v>76394.58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WORKING CAPITAL FORECAST (DSO / DPO)</t>
        </is>
      </c>
    </row>
    <row r="5">
      <c r="B5" s="11" t="inlineStr">
        <is>
          <t>Working Capital Driver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Days Sales Outstanding (DSO)</t>
        </is>
      </c>
      <c r="C6" s="31" t="n">
        <v>13.3</v>
      </c>
      <c r="D6" s="31" t="n">
        <v>13.3</v>
      </c>
      <c r="E6" s="31" t="n">
        <v>13.3</v>
      </c>
      <c r="F6" s="31" t="n">
        <v>13.3</v>
      </c>
      <c r="G6" s="31" t="n">
        <v>13.3</v>
      </c>
    </row>
    <row r="7">
      <c r="B7" s="32" t="inlineStr">
        <is>
          <t>Trade Receivables (INR Cr)</t>
        </is>
      </c>
      <c r="C7" s="23">
        <f>'21_Revenue_Build'!C7*C6/365</f>
        <v>22176.58</v>
      </c>
      <c r="D7" s="23">
        <f>'21_Revenue_Build'!D7*D6/365</f>
        <v>22298.55</v>
      </c>
      <c r="E7" s="23">
        <f>'21_Revenue_Build'!E7*E6/365</f>
        <v>22421.2</v>
      </c>
      <c r="F7" s="23">
        <f>'21_Revenue_Build'!F7*F6/365</f>
        <v>22544.51</v>
      </c>
      <c r="G7" s="23">
        <f>'21_Revenue_Build'!G7*G6/365</f>
        <v>22668.51</v>
      </c>
    </row>
    <row r="8">
      <c r="B8" s="26" t="inlineStr">
        <is>
          <t>Days Payables Outstanding (DPO)</t>
        </is>
      </c>
      <c r="C8" s="31" t="n">
        <v>14</v>
      </c>
      <c r="D8" s="31" t="n">
        <v>14</v>
      </c>
      <c r="E8" s="31" t="n">
        <v>14</v>
      </c>
      <c r="F8" s="31" t="n">
        <v>14</v>
      </c>
      <c r="G8" s="31" t="n">
        <v>14</v>
      </c>
    </row>
    <row r="9">
      <c r="B9" s="32" t="inlineStr">
        <is>
          <t>Trade Payables (INR Cr)</t>
        </is>
      </c>
      <c r="C9" s="23">
        <f>'20_Operating_Model'!C7*C8/365</f>
        <v>17667.74</v>
      </c>
      <c r="D9" s="23">
        <f>'20_Operating_Model'!D7*D8/365</f>
        <v>17764.92</v>
      </c>
      <c r="E9" s="23">
        <f>'20_Operating_Model'!E7*E8/365</f>
        <v>17862.62</v>
      </c>
      <c r="F9" s="23">
        <f>'20_Operating_Model'!F7*F8/365</f>
        <v>17960.87</v>
      </c>
      <c r="G9" s="23">
        <f>'20_Operating_Model'!G7*G8/365</f>
        <v>18059.65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CAPEX &amp; DEPRECIATION SCHEDULE</t>
        </is>
      </c>
    </row>
    <row r="5">
      <c r="B5" s="11" t="inlineStr">
        <is>
          <t>Capex &amp; D&amp;A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Capex % Revenue</t>
        </is>
      </c>
      <c r="C6" s="30" t="n">
        <v>0.089229</v>
      </c>
      <c r="D6" s="30" t="n">
        <v>0.08564999999999999</v>
      </c>
      <c r="E6" s="30" t="n">
        <v>0.081176</v>
      </c>
      <c r="F6" s="30" t="n">
        <v>0.077597</v>
      </c>
      <c r="G6" s="30" t="n">
        <v>0.074018</v>
      </c>
    </row>
    <row r="7">
      <c r="B7" s="32" t="inlineStr">
        <is>
          <t>Capex Outflow (INR Cr)</t>
        </is>
      </c>
      <c r="C7" s="23">
        <f>-'21_Revenue_Build'!C7*C6</f>
        <v>-54305.26</v>
      </c>
      <c r="D7" s="23">
        <f>-'21_Revenue_Build'!D7*D6</f>
        <v>-52413.76</v>
      </c>
      <c r="E7" s="23">
        <f>-'21_Revenue_Build'!E7*E6</f>
        <v>-49949.1</v>
      </c>
      <c r="F7" s="23">
        <f>-'21_Revenue_Build'!F7*F6</f>
        <v>-48009.48</v>
      </c>
      <c r="G7" s="23">
        <f>-'21_Revenue_Build'!G7*G6</f>
        <v>-46047.02</v>
      </c>
    </row>
    <row r="8">
      <c r="B8" s="26" t="inlineStr">
        <is>
          <t>D&amp;A % Revenue</t>
        </is>
      </c>
      <c r="C8" s="30" t="n">
        <v>0.057067</v>
      </c>
      <c r="D8" s="30" t="n">
        <v>0.057067</v>
      </c>
      <c r="E8" s="30" t="n">
        <v>0.057067</v>
      </c>
      <c r="F8" s="30" t="n">
        <v>0.057067</v>
      </c>
      <c r="G8" s="30" t="n">
        <v>0.057067</v>
      </c>
    </row>
    <row r="9">
      <c r="B9" s="32" t="inlineStr">
        <is>
          <t>D&amp;A Expense (INR Cr)</t>
        </is>
      </c>
      <c r="C9" s="23">
        <f>'21_Revenue_Build'!C7*C8</f>
        <v>34731.29</v>
      </c>
      <c r="D9" s="23">
        <f>'21_Revenue_Build'!D7*D8</f>
        <v>34922.31</v>
      </c>
      <c r="E9" s="23">
        <f>'21_Revenue_Build'!E7*E8</f>
        <v>35114.38</v>
      </c>
      <c r="F9" s="23">
        <f>'21_Revenue_Build'!F7*F8</f>
        <v>35307.51</v>
      </c>
      <c r="G9" s="23">
        <f>'21_Revenue_Build'!G7*G8</f>
        <v>35501.7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DEBT &amp; BORROWINGS SCHEDULE (GENERIC)</t>
        </is>
      </c>
    </row>
    <row r="3">
      <c r="B3" s="4" t="inlineStr">
        <is>
          <t>Oil &amp; Natural Gas Corporation Limited — debt schedule from base scenario</t>
        </is>
      </c>
    </row>
    <row r="5">
      <c r="B5" s="11" t="inlineStr">
        <is>
          <t>Debt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Opening Debt Balance (INR Cr)</t>
        </is>
      </c>
      <c r="C6" s="33" t="n">
        <v>174299.133</v>
      </c>
      <c r="D6" s="23">
        <f>C10</f>
        <v>174299.133</v>
      </c>
      <c r="E6" s="23">
        <f>D10</f>
        <v>174299.133</v>
      </c>
      <c r="F6" s="23">
        <f>E10</f>
        <v>174299.133</v>
      </c>
      <c r="G6" s="23">
        <f>F10</f>
        <v>174299.133</v>
      </c>
    </row>
    <row r="7">
      <c r="B7" s="26" t="inlineStr">
        <is>
          <t>Debt Drawdowns (INR Cr)</t>
        </is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</row>
    <row r="8">
      <c r="B8" s="26" t="inlineStr">
        <is>
          <t>Scheduled Repayments (INR Cr)</t>
        </is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</row>
    <row r="9">
      <c r="B9" s="26" t="inlineStr">
        <is>
          <t>Optional Repayments (INR Cr)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</row>
    <row r="10">
      <c r="B10" s="26" t="inlineStr">
        <is>
          <t>Closing Debt Balance (INR Cr)</t>
        </is>
      </c>
      <c r="C10" s="27">
        <f>C6+C7-C8-C9</f>
        <v>174299.133</v>
      </c>
      <c r="D10" s="27">
        <f>D6+D7-D8-D9</f>
        <v>174299.133</v>
      </c>
      <c r="E10" s="27">
        <f>E6+E7-E8-E9</f>
        <v>174299.133</v>
      </c>
      <c r="F10" s="27">
        <f>F6+F7-F8-F9</f>
        <v>174299.133</v>
      </c>
      <c r="G10" s="27">
        <f>G6+G7-G8-G9</f>
        <v>174299.133</v>
      </c>
    </row>
    <row r="11">
      <c r="B11" s="32" t="inlineStr">
        <is>
          <t>Interest Expense (INR Cr)</t>
        </is>
      </c>
      <c r="C11" s="23">
        <f>AVERAGE(C6,C10)*'30_WACC'!C10</f>
        <v>13072.435</v>
      </c>
      <c r="D11" s="23">
        <f>AVERAGE(D6,D10)*'30_WACC'!C10</f>
        <v>13072.435</v>
      </c>
      <c r="E11" s="23">
        <f>AVERAGE(E6,E10)*'30_WACC'!C10</f>
        <v>13072.435</v>
      </c>
      <c r="F11" s="23">
        <f>AVERAGE(F6,F10)*'30_WACC'!C10</f>
        <v>13072.435</v>
      </c>
      <c r="G11" s="23">
        <f>AVERAGE(G6,G10)*'30_WACC'!C10</f>
        <v>13072.435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EFFECTIVE TAX RATE SCHEDULE</t>
        </is>
      </c>
    </row>
    <row r="5">
      <c r="B5" s="11" t="inlineStr">
        <is>
          <t>Tax Parameter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Effective Tax Rate %</t>
        </is>
      </c>
      <c r="C6" s="30" t="n">
        <v>0.2605</v>
      </c>
      <c r="D6" s="30" t="n">
        <v>0.2605</v>
      </c>
      <c r="E6" s="30" t="n">
        <v>0.2583</v>
      </c>
      <c r="F6" s="30" t="n">
        <v>0.2561</v>
      </c>
      <c r="G6" s="30" t="n">
        <v>0.2539</v>
      </c>
    </row>
    <row r="7">
      <c r="B7" s="32" t="inlineStr">
        <is>
          <t>PBT (INR Cr)</t>
        </is>
      </c>
      <c r="C7" s="23">
        <f>'20_Operating_Model'!C14</f>
        <v>69000.91</v>
      </c>
      <c r="D7" s="23">
        <f>'20_Operating_Model'!D14</f>
        <v>69380.42</v>
      </c>
      <c r="E7" s="23">
        <f>'20_Operating_Model'!E14</f>
        <v>69762.00999999999</v>
      </c>
      <c r="F7" s="23">
        <f>'20_Operating_Model'!F14</f>
        <v>70145.7</v>
      </c>
      <c r="G7" s="23">
        <f>'20_Operating_Model'!G14</f>
        <v>70531.5</v>
      </c>
    </row>
    <row r="8">
      <c r="B8" s="26" t="inlineStr">
        <is>
          <t>Tax Expense (INR Cr)</t>
        </is>
      </c>
      <c r="C8" s="27">
        <f>C7*C6</f>
        <v>17974.74</v>
      </c>
      <c r="D8" s="27">
        <f>D7*D6</f>
        <v>18073.6</v>
      </c>
      <c r="E8" s="27">
        <f>E7*E6</f>
        <v>18019.53</v>
      </c>
      <c r="F8" s="27">
        <f>F7*F6</f>
        <v>17964.31</v>
      </c>
      <c r="G8" s="27">
        <f>G7*G6</f>
        <v>17907.95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>
      <c r="B2" s="3" t="inlineStr">
        <is>
          <t>DILUTED SHARE COUNT SCHEDULE</t>
        </is>
      </c>
    </row>
    <row r="5">
      <c r="B5" s="11" t="inlineStr">
        <is>
          <t>Share Count Basis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  <c r="F5" s="12" t="inlineStr">
        <is>
          <t>FY27</t>
        </is>
      </c>
      <c r="G5" s="12" t="inlineStr">
        <is>
          <t>FY28</t>
        </is>
      </c>
      <c r="H5" s="12" t="inlineStr">
        <is>
          <t>FY29</t>
        </is>
      </c>
      <c r="I5" s="12" t="inlineStr">
        <is>
          <t>FY30</t>
        </is>
      </c>
      <c r="J5" s="12" t="inlineStr">
        <is>
          <t>FY31</t>
        </is>
      </c>
    </row>
    <row r="6">
      <c r="B6" s="26" t="inlineStr">
        <is>
          <t>Diluted Shares Outstanding (Cr)</t>
        </is>
      </c>
      <c r="C6" s="23" t="n">
        <v>1258.165</v>
      </c>
      <c r="D6" s="23" t="n">
        <v>1257.8341</v>
      </c>
      <c r="E6" s="23" t="n">
        <v>1257.9527</v>
      </c>
      <c r="F6" s="33" t="n">
        <v>1257.9527</v>
      </c>
      <c r="G6" s="33" t="n">
        <v>1257.9527</v>
      </c>
      <c r="H6" s="33" t="n">
        <v>1257.9527</v>
      </c>
      <c r="I6" s="33" t="n">
        <v>1257.9527</v>
      </c>
      <c r="J6" s="33" t="n">
        <v>1257.9527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45" customWidth="1" min="4" max="4"/>
  </cols>
  <sheetData>
    <row r="2">
      <c r="B2" s="3" t="inlineStr">
        <is>
          <t>WEIGHTED AVERAGE COST OF CAPITAL (WACC)</t>
        </is>
      </c>
    </row>
    <row r="3">
      <c r="B3" s="4" t="inlineStr">
        <is>
          <t>CAPM Cost of Equity &amp; Market Capital Weighting</t>
        </is>
      </c>
    </row>
    <row r="5">
      <c r="B5" s="11" t="inlineStr">
        <is>
          <t>CAPM Component / Parameter</t>
        </is>
      </c>
      <c r="C5" s="12" t="inlineStr">
        <is>
          <t>Value</t>
        </is>
      </c>
      <c r="D5" s="12" t="inlineStr">
        <is>
          <t>Source / Provenance Notes</t>
        </is>
      </c>
    </row>
    <row r="6">
      <c r="B6" s="7" t="inlineStr">
        <is>
          <t>Risk-Free Rate (Rf) %</t>
        </is>
      </c>
      <c r="C6" s="34" t="n">
        <v>0.0678</v>
      </c>
      <c r="D6" s="35" t="inlineStr">
        <is>
          <t>INDIA market default for rfr</t>
        </is>
      </c>
    </row>
    <row r="7">
      <c r="B7" s="7" t="inlineStr">
        <is>
          <t>Equity Beta (β)</t>
        </is>
      </c>
      <c r="C7" s="36" t="n">
        <v>0.95</v>
      </c>
      <c r="D7" s="35" t="inlineStr">
        <is>
          <t>Per-company registry benchmark beta vs primary index</t>
        </is>
      </c>
    </row>
    <row r="8">
      <c r="B8" s="7" t="inlineStr">
        <is>
          <t>Equity Risk Premium (ERP) %</t>
        </is>
      </c>
      <c r="C8" s="34" t="n">
        <v>0.0708</v>
      </c>
      <c r="D8" s="35" t="inlineStr">
        <is>
          <t>INDIA market default for erp</t>
        </is>
      </c>
    </row>
    <row r="9">
      <c r="B9" s="7" t="inlineStr">
        <is>
          <t>Cost of Equity (r_e) %</t>
        </is>
      </c>
      <c r="C9" s="37">
        <f>C6+(C7*C8)</f>
        <v>0.13506</v>
      </c>
      <c r="D9" s="35" t="inlineStr">
        <is>
          <t>CAPM formula: r_e = Rf + Beta * ERP</t>
        </is>
      </c>
    </row>
    <row r="10">
      <c r="B10" s="7" t="inlineStr">
        <is>
          <t>Pre-Tax Cost of Debt %</t>
        </is>
      </c>
      <c r="C10" s="34" t="n">
        <v>0.075</v>
      </c>
      <c r="D10" s="35" t="inlineStr">
        <is>
          <t>ONGC pre-tax cost of borrowings</t>
        </is>
      </c>
    </row>
    <row r="11">
      <c r="B11" s="7" t="inlineStr">
        <is>
          <t>Effective Tax Rate %</t>
        </is>
      </c>
      <c r="C11" s="34" t="n">
        <v>0.2605</v>
      </c>
      <c r="D11" s="35" t="inlineStr">
        <is>
          <t>Forecast average tax rate</t>
        </is>
      </c>
    </row>
    <row r="12">
      <c r="B12" s="7" t="inlineStr">
        <is>
          <t>After-Tax Cost of Debt (r_d) %</t>
        </is>
      </c>
      <c r="C12" s="37">
        <f>C10*(1-C11)</f>
        <v>0.0554625</v>
      </c>
      <c r="D12" s="35" t="inlineStr">
        <is>
          <t>Pre-tax * (1 - tax_rate)</t>
        </is>
      </c>
    </row>
    <row r="13">
      <c r="B13" s="7" t="inlineStr">
        <is>
          <t>Equity Market Weight %</t>
        </is>
      </c>
      <c r="C13" s="24" t="n">
        <v>0.6294729999999999</v>
      </c>
      <c r="D13" s="35" t="inlineStr">
        <is>
          <t>Market Cap / Total Capital</t>
        </is>
      </c>
    </row>
    <row r="14">
      <c r="B14" s="7" t="inlineStr">
        <is>
          <t>Debt Market Weight %</t>
        </is>
      </c>
      <c r="C14" s="24" t="n">
        <v>0.370527</v>
      </c>
      <c r="D14" s="35" t="inlineStr">
        <is>
          <t>Total Debt / Total Capital</t>
        </is>
      </c>
    </row>
    <row r="15">
      <c r="B15" s="20" t="inlineStr">
        <is>
          <t>WEIGHTED AVERAGE COST OF CAPITAL (WACC) %</t>
        </is>
      </c>
      <c r="C15" s="38">
        <f>(C13*C9)+(C14*C12)</f>
        <v>0.105567</v>
      </c>
      <c r="D15" s="39" t="inlineStr">
        <is>
          <t>Total WACC = Equity Weight * r_e + Debt Weight * r_d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2">
      <c r="B2" s="3" t="inlineStr">
        <is>
          <t>OIL &amp; NATURAL GAS CORPORATION LIMITED — DISCOUNTED CASH FLOW (DCF) MODEL</t>
        </is>
      </c>
    </row>
    <row r="3">
      <c r="B3" s="4" t="inlineStr">
        <is>
          <t>5-Year FCFF Build, PV Discounting &amp; Enterprise Value Bridge</t>
        </is>
      </c>
    </row>
    <row r="5">
      <c r="B5" s="11" t="inlineStr">
        <is>
          <t>FCFF Line Item / DCF Bridge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  <c r="H5" s="12" t="inlineStr">
        <is>
          <t>Valuation Summary</t>
        </is>
      </c>
    </row>
    <row r="6">
      <c r="B6" s="26" t="inlineStr">
        <is>
          <t>Operating Profit (EBIT)</t>
        </is>
      </c>
      <c r="C6" s="23">
        <f>'20_Operating_Model'!C11</f>
        <v>74736.75</v>
      </c>
      <c r="D6" s="23">
        <f>'20_Operating_Model'!D11</f>
        <v>75147.8</v>
      </c>
      <c r="E6" s="23">
        <f>'20_Operating_Model'!E11</f>
        <v>75561.12</v>
      </c>
      <c r="F6" s="23">
        <f>'20_Operating_Model'!F11</f>
        <v>75976.7</v>
      </c>
      <c r="G6" s="23">
        <f>'20_Operating_Model'!G11</f>
        <v>76394.58</v>
      </c>
    </row>
    <row r="7">
      <c r="B7" s="26" t="inlineStr">
        <is>
          <t>Effective Tax Rate %</t>
        </is>
      </c>
      <c r="C7" s="24">
        <f>'26_Tax_Schedule'!C6</f>
        <v>0.2605</v>
      </c>
      <c r="D7" s="24">
        <f>'26_Tax_Schedule'!D6</f>
        <v>0.2605</v>
      </c>
      <c r="E7" s="24">
        <f>'26_Tax_Schedule'!E6</f>
        <v>0.2583</v>
      </c>
      <c r="F7" s="24">
        <f>'26_Tax_Schedule'!F6</f>
        <v>0.2561</v>
      </c>
      <c r="G7" s="24">
        <f>'26_Tax_Schedule'!G6</f>
        <v>0.2539</v>
      </c>
    </row>
    <row r="8">
      <c r="B8" s="26" t="inlineStr">
        <is>
          <t>NOPAT (EBIT x (1 - Tax))</t>
        </is>
      </c>
      <c r="C8" s="27">
        <f>C6*(1-C7)</f>
        <v>55267.83</v>
      </c>
      <c r="D8" s="27">
        <f>D6*(1-D7)</f>
        <v>55571.8</v>
      </c>
      <c r="E8" s="27">
        <f>E6*(1-E7)</f>
        <v>56043.68</v>
      </c>
      <c r="F8" s="27">
        <f>F6*(1-F7)</f>
        <v>56519.07</v>
      </c>
      <c r="G8" s="27">
        <f>G6*(1-G7)</f>
        <v>56998</v>
      </c>
    </row>
    <row r="9">
      <c r="B9" s="26" t="inlineStr">
        <is>
          <t>Plus: D&amp;A Expense</t>
        </is>
      </c>
      <c r="C9" s="23">
        <f>'20_Operating_Model'!C10</f>
        <v>34731.29</v>
      </c>
      <c r="D9" s="23">
        <f>'20_Operating_Model'!D10</f>
        <v>34922.31</v>
      </c>
      <c r="E9" s="23">
        <f>'20_Operating_Model'!E10</f>
        <v>35114.38</v>
      </c>
      <c r="F9" s="23">
        <f>'20_Operating_Model'!F10</f>
        <v>35307.51</v>
      </c>
      <c r="G9" s="23">
        <f>'20_Operating_Model'!G10</f>
        <v>35501.7</v>
      </c>
    </row>
    <row r="10">
      <c r="B10" s="26" t="inlineStr">
        <is>
          <t>Less: Capex Outflow</t>
        </is>
      </c>
      <c r="C10" s="23">
        <f>ABS('20_Operating_Model'!C24)</f>
        <v>54305.26</v>
      </c>
      <c r="D10" s="23">
        <f>ABS('20_Operating_Model'!D24)</f>
        <v>52413.76</v>
      </c>
      <c r="E10" s="23">
        <f>ABS('20_Operating_Model'!E24)</f>
        <v>49949.1</v>
      </c>
      <c r="F10" s="23">
        <f>ABS('20_Operating_Model'!F24)</f>
        <v>48009.48</v>
      </c>
      <c r="G10" s="23">
        <f>ABS('20_Operating_Model'!G24)</f>
        <v>46047.02</v>
      </c>
    </row>
    <row r="11">
      <c r="B11" s="26" t="inlineStr">
        <is>
          <t>Less: Change in Working Capital</t>
        </is>
      </c>
      <c r="C11" s="23">
        <f>('23_Working_Capital'!C7-'23_Working_Capital'!C9)-('11_Balance_Sheet'!E10-'11_Balance_Sheet'!E17)</f>
        <v>-17505.64</v>
      </c>
      <c r="D11" s="23">
        <f>('23_Working_Capital'!D7-'23_Working_Capital'!D9)-('23_Working_Capital'!C7-'23_Working_Capital'!C9)</f>
        <v>24.8</v>
      </c>
      <c r="E11" s="23">
        <f>('23_Working_Capital'!E7-'23_Working_Capital'!E9)-('23_Working_Capital'!D7-'23_Working_Capital'!D9)</f>
        <v>24.94</v>
      </c>
      <c r="F11" s="23">
        <f>('23_Working_Capital'!F7-'23_Working_Capital'!F9)-('23_Working_Capital'!E7-'23_Working_Capital'!E9)</f>
        <v>25.07</v>
      </c>
      <c r="G11" s="23">
        <f>('23_Working_Capital'!G7-'23_Working_Capital'!G9)-('23_Working_Capital'!F7-'23_Working_Capital'!F9)</f>
        <v>25.21</v>
      </c>
    </row>
    <row r="12">
      <c r="B12" s="26" t="inlineStr">
        <is>
          <t>FREE CASH FLOW TO FIRM (FCFF)</t>
        </is>
      </c>
      <c r="C12" s="27">
        <f>C8+C9-C10-C11</f>
        <v>53199.5</v>
      </c>
      <c r="D12" s="27">
        <f>D8+D9-D10-D11</f>
        <v>38055.55</v>
      </c>
      <c r="E12" s="27">
        <f>E8+E9-E10-E11</f>
        <v>41184.02</v>
      </c>
      <c r="F12" s="27">
        <f>F8+F9-F10-F11</f>
        <v>43792.03</v>
      </c>
      <c r="G12" s="27">
        <f>G8+G9-G10-G11</f>
        <v>46427.47</v>
      </c>
    </row>
    <row r="13">
      <c r="B13" s="26" t="inlineStr">
        <is>
          <t>Mid-Year Discount Factor (1 / (1+WACC)^(t - 0.5))</t>
        </is>
      </c>
      <c r="C13" s="40">
        <f>1/((1+'30_WACC'!C15)^(1-0.5))</f>
        <v>0.951059</v>
      </c>
      <c r="D13" s="40">
        <f>1/((1+'30_WACC'!C15)^(2-0.5))</f>
        <v>0.860245</v>
      </c>
      <c r="E13" s="40">
        <f>1/((1+'30_WACC'!C15)^(3-0.5))</f>
        <v>0.778103</v>
      </c>
      <c r="F13" s="40">
        <f>1/((1+'30_WACC'!C15)^(4-0.5))</f>
        <v>0.703805</v>
      </c>
      <c r="G13" s="40">
        <f>1/((1+'30_WACC'!C15)^(5-0.5))</f>
        <v>0.636601</v>
      </c>
    </row>
    <row r="14">
      <c r="B14" s="26" t="inlineStr">
        <is>
          <t>PRESENT VALUE OF FCFF</t>
        </is>
      </c>
      <c r="C14" s="27">
        <f>C12*C13</f>
        <v>50595.86</v>
      </c>
      <c r="D14" s="27">
        <f>D12*D13</f>
        <v>32737.11</v>
      </c>
      <c r="E14" s="27">
        <f>E12*E13</f>
        <v>32045.43</v>
      </c>
      <c r="F14" s="27">
        <f>F12*F13</f>
        <v>30821.04</v>
      </c>
      <c r="G14" s="27">
        <f>G12*G13</f>
        <v>29555.76</v>
      </c>
    </row>
    <row r="16">
      <c r="B16" s="4" t="inlineStr">
        <is>
          <t>DCF BRIDGE — EV TO EQUITY VALUE</t>
        </is>
      </c>
    </row>
    <row r="17">
      <c r="B17" s="41" t="inlineStr">
        <is>
          <t>Cumulative PV of FCFF (Mid-Year)</t>
        </is>
      </c>
      <c r="C17" s="14" t="n"/>
      <c r="D17" s="14" t="n"/>
      <c r="E17" s="14" t="n"/>
      <c r="F17" s="14" t="n"/>
      <c r="G17" s="14" t="n"/>
      <c r="H17" s="42">
        <f>SUM(C14:G14)</f>
        <v>175755.2</v>
      </c>
    </row>
    <row r="18">
      <c r="B18" s="41" t="inlineStr">
        <is>
          <t>PV of Terminal Value</t>
        </is>
      </c>
      <c r="C18" s="14" t="n"/>
      <c r="D18" s="14" t="n"/>
      <c r="E18" s="14" t="n"/>
      <c r="F18" s="14" t="n"/>
      <c r="G18" s="14" t="n"/>
      <c r="H18" s="42">
        <f>'32_Terminal_Value'!C13</f>
        <v>445859.18</v>
      </c>
    </row>
    <row r="19">
      <c r="B19" s="41" t="inlineStr">
        <is>
          <t>ENTERPRISE VALUE (EV)</t>
        </is>
      </c>
      <c r="C19" s="14" t="n"/>
      <c r="D19" s="14" t="n"/>
      <c r="E19" s="14" t="n"/>
      <c r="F19" s="14" t="n"/>
      <c r="G19" s="14" t="n"/>
      <c r="H19" s="42">
        <f>H17+H18</f>
        <v>621614.38</v>
      </c>
    </row>
    <row r="20">
      <c r="B20" s="41" t="inlineStr">
        <is>
          <t>Plus: Cash &amp; Cash Equivalents</t>
        </is>
      </c>
      <c r="C20" s="14" t="n"/>
      <c r="D20" s="14" t="n"/>
      <c r="E20" s="14" t="n"/>
      <c r="F20" s="14" t="n"/>
      <c r="G20" s="14" t="n"/>
      <c r="H20" s="42" t="n">
        <v>36392.1</v>
      </c>
    </row>
    <row r="21">
      <c r="B21" s="41" t="inlineStr">
        <is>
          <t>Plus: Marketable Securities</t>
        </is>
      </c>
      <c r="C21" s="14" t="n"/>
      <c r="D21" s="14" t="n"/>
      <c r="E21" s="14" t="n"/>
      <c r="F21" s="14" t="n"/>
      <c r="G21" s="14" t="n"/>
      <c r="H21" s="42" t="n">
        <v>0</v>
      </c>
    </row>
    <row r="22">
      <c r="B22" s="41" t="inlineStr">
        <is>
          <t>Plus: Non-Current Investments</t>
        </is>
      </c>
      <c r="C22" s="14" t="n"/>
      <c r="D22" s="14" t="n"/>
      <c r="E22" s="14" t="n"/>
      <c r="F22" s="14" t="n"/>
      <c r="G22" s="14" t="n"/>
      <c r="H22" s="42" t="n">
        <v>0</v>
      </c>
    </row>
    <row r="23">
      <c r="B23" s="41" t="inlineStr">
        <is>
          <t>Less: Total Debt</t>
        </is>
      </c>
      <c r="C23" s="14" t="n"/>
      <c r="D23" s="14" t="n"/>
      <c r="E23" s="14" t="n"/>
      <c r="F23" s="14" t="n"/>
      <c r="G23" s="14" t="n"/>
      <c r="H23" s="42" t="n">
        <v>174299.13</v>
      </c>
    </row>
    <row r="24">
      <c r="B24" s="41" t="inlineStr">
        <is>
          <t>Less: Minority Interest &amp; Preferred</t>
        </is>
      </c>
      <c r="C24" s="14" t="n"/>
      <c r="D24" s="14" t="n"/>
      <c r="E24" s="14" t="n"/>
      <c r="F24" s="14" t="n"/>
      <c r="G24" s="14" t="n"/>
      <c r="H24" s="42" t="n">
        <v>0</v>
      </c>
    </row>
    <row r="25">
      <c r="B25" s="41" t="inlineStr">
        <is>
          <t>Net Non-Operating Debt / (Cash)</t>
        </is>
      </c>
      <c r="C25" s="14" t="n"/>
      <c r="D25" s="14" t="n"/>
      <c r="E25" s="14" t="n"/>
      <c r="F25" s="14" t="n"/>
      <c r="G25" s="14" t="n"/>
      <c r="H25" s="42">
        <f>(H23+H24)-(H20+H21+H22)</f>
        <v>137907.04</v>
      </c>
    </row>
    <row r="26">
      <c r="B26" s="41" t="inlineStr">
        <is>
          <t>EQUITY VALUE</t>
        </is>
      </c>
      <c r="C26" s="14" t="n"/>
      <c r="D26" s="14" t="n"/>
      <c r="E26" s="14" t="n"/>
      <c r="F26" s="14" t="n"/>
      <c r="G26" s="14" t="n"/>
      <c r="H26" s="42">
        <f>H19-H25</f>
        <v>483707.34</v>
      </c>
    </row>
    <row r="27">
      <c r="B27" s="41" t="inlineStr">
        <is>
          <t>Diluted Shares (Cr)</t>
        </is>
      </c>
      <c r="C27" s="14" t="n"/>
      <c r="D27" s="14" t="n"/>
      <c r="E27" s="14" t="n"/>
      <c r="F27" s="14" t="n"/>
      <c r="G27" s="14" t="n"/>
      <c r="H27" s="43">
        <f>'27_Share_Count'!E6</f>
        <v>1257.9527</v>
      </c>
    </row>
    <row r="28">
      <c r="B28" s="44" t="inlineStr">
        <is>
          <t>IMPLIED SHARE PRICE (INR)</t>
        </is>
      </c>
      <c r="C28" s="45" t="n"/>
      <c r="D28" s="45" t="n"/>
      <c r="E28" s="45" t="n"/>
      <c r="F28" s="45" t="n"/>
      <c r="G28" s="45" t="n"/>
      <c r="H28" s="46">
        <f>H26/H27</f>
        <v>384.52</v>
      </c>
    </row>
  </sheetData>
  <mergeCells count="12">
    <mergeCell ref="B24:G24"/>
    <mergeCell ref="B19:G19"/>
    <mergeCell ref="B20:G20"/>
    <mergeCell ref="B28:G28"/>
    <mergeCell ref="B22:G22"/>
    <mergeCell ref="B17:G17"/>
    <mergeCell ref="B23:G23"/>
    <mergeCell ref="B27:G27"/>
    <mergeCell ref="B26:G26"/>
    <mergeCell ref="B18:G18"/>
    <mergeCell ref="B21:G21"/>
    <mergeCell ref="B25:G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45" customWidth="1" min="4" max="4"/>
  </cols>
  <sheetData>
    <row r="2">
      <c r="B2" s="3" t="inlineStr">
        <is>
          <t>TERMINAL VALUE CALCULATION (DUAL METHOD &amp; QUALITY CHECKS)</t>
        </is>
      </c>
    </row>
    <row r="3">
      <c r="B3" s="4" t="inlineStr">
        <is>
          <t>Gordon Perpetuity Growth, Exit Multiple &amp; Terminal ROIC Analysis</t>
        </is>
      </c>
    </row>
    <row r="5">
      <c r="B5" s="11" t="inlineStr">
        <is>
          <t>Terminal Value Parameter</t>
        </is>
      </c>
      <c r="C5" s="12" t="inlineStr">
        <is>
          <t>Value</t>
        </is>
      </c>
      <c r="D5" s="12" t="inlineStr">
        <is>
          <t>Methodology / Rule Notes</t>
        </is>
      </c>
    </row>
    <row r="6">
      <c r="B6" s="7" t="inlineStr">
        <is>
          <t>Terminal Growth Rate %</t>
        </is>
      </c>
      <c r="C6" s="30" t="n">
        <v>0.04</v>
      </c>
      <c r="D6" s="35" t="inlineStr">
        <is>
          <t>Perpetuity growth rate (must be &lt; WACC)</t>
        </is>
      </c>
    </row>
    <row r="7">
      <c r="B7" s="7" t="inlineStr">
        <is>
          <t>FY31 Final Year FCFF (INR Cr)</t>
        </is>
      </c>
      <c r="C7" s="23">
        <f>'31_DCF'!G12</f>
        <v>46427.47</v>
      </c>
      <c r="D7" s="35" t="inlineStr">
        <is>
          <t>Final forecast year FCFF</t>
        </is>
      </c>
    </row>
    <row r="8">
      <c r="B8" s="7" t="inlineStr">
        <is>
          <t>Gordon Growth Undiscounted TV</t>
        </is>
      </c>
      <c r="C8" s="22">
        <f>(C7*(1+C6)/('30_WACC'!C15-C6))</f>
        <v>736415.71</v>
      </c>
      <c r="D8" s="35" t="inlineStr">
        <is>
          <t>TV = FCFF_n * (1+g) / (WACC - g)</t>
        </is>
      </c>
    </row>
    <row r="9">
      <c r="B9" s="7" t="inlineStr">
        <is>
          <t>Exit Multiple (EV/EBITDA)</t>
        </is>
      </c>
      <c r="C9" s="47" t="n">
        <v>20</v>
      </c>
      <c r="D9" s="35" t="inlineStr">
        <is>
          <t>Exit EV/EBITDA multiple</t>
        </is>
      </c>
    </row>
    <row r="10">
      <c r="B10" s="7" t="inlineStr">
        <is>
          <t>FY31 Final Year EBITDA (INR Cr)</t>
        </is>
      </c>
      <c r="C10" s="23">
        <f>'20_Operating_Model'!G9</f>
        <v>111875.13</v>
      </c>
      <c r="D10" s="35" t="inlineStr">
        <is>
          <t>Final forecast year EBITDA</t>
        </is>
      </c>
    </row>
    <row r="11">
      <c r="B11" s="7" t="inlineStr">
        <is>
          <t>Exit Multiple Undiscounted TV</t>
        </is>
      </c>
      <c r="C11" s="22">
        <f>C9*C10</f>
        <v>2237502.6</v>
      </c>
      <c r="D11" s="35" t="inlineStr">
        <is>
          <t>TV = EBITDA_n * Exit Multiple</t>
        </is>
      </c>
    </row>
    <row r="12">
      <c r="B12" s="7" t="inlineStr">
        <is>
          <t>Discount Factor (t=5)</t>
        </is>
      </c>
      <c r="C12" s="40">
        <f>1/((1+'30_WACC'!C15)^5)</f>
        <v>0.605445</v>
      </c>
      <c r="D12" s="35" t="inlineStr">
        <is>
          <t>Discount factor for Year 5</t>
        </is>
      </c>
    </row>
    <row r="13">
      <c r="B13" s="20" t="inlineStr">
        <is>
          <t>DISCOUNTED TERMINAL VALUE (PV)</t>
        </is>
      </c>
      <c r="C13" s="48">
        <f>C8*C12</f>
        <v>445859.18</v>
      </c>
      <c r="D13" s="39" t="inlineStr">
        <is>
          <t>Gordon Growth PV of Terminal Value</t>
        </is>
      </c>
    </row>
    <row r="14">
      <c r="B14" s="7" t="inlineStr">
        <is>
          <t>Terminal Year NOPAT (Quality Check)</t>
        </is>
      </c>
      <c r="C14" s="22" t="n">
        <v>59277.92</v>
      </c>
      <c r="D14" s="35" t="inlineStr">
        <is>
          <t>Terminal NOPAT = EBIT_5 * (1+g) * (1 - Tax)</t>
        </is>
      </c>
    </row>
    <row r="15">
      <c r="B15" s="7" t="inlineStr">
        <is>
          <t>Implied Reinvestment Rate %</t>
        </is>
      </c>
      <c r="C15" s="24" t="n">
        <v>0.1855</v>
      </c>
      <c r="D15" s="35" t="inlineStr">
        <is>
          <t>Reinvestment Rate = (Terminal NOPAT - Terminal FCFF) / NOPAT</t>
        </is>
      </c>
    </row>
    <row r="16">
      <c r="B16" s="7" t="inlineStr">
        <is>
          <t>Implied Terminal ROIC %</t>
        </is>
      </c>
      <c r="C16" s="24" t="n">
        <v>0.2157</v>
      </c>
      <c r="D16" s="35" t="inlineStr">
        <is>
          <t>ValueDriver check: g / Reinvestment Rate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3" t="inlineStr">
        <is>
          <t>VALUATION SENSITIVITY ANALYSIS</t>
        </is>
      </c>
    </row>
    <row r="3">
      <c r="B3" s="4" t="inlineStr">
        <is>
          <t>2D Sensitivity Grids (WACC vs Terminal Growth &amp; Exit Multiple)</t>
        </is>
      </c>
    </row>
    <row r="5">
      <c r="B5" s="5" t="inlineStr">
        <is>
          <t>WACC % \ Growth %</t>
        </is>
      </c>
      <c r="C5" s="49" t="n">
        <v>0.03</v>
      </c>
      <c r="D5" s="49" t="n">
        <v>0.035</v>
      </c>
      <c r="E5" s="49" t="n">
        <v>0.04</v>
      </c>
      <c r="F5" s="49" t="n">
        <v>0.045</v>
      </c>
      <c r="G5" s="49" t="n">
        <v>0.05</v>
      </c>
    </row>
    <row r="6">
      <c r="B6" s="50" t="n">
        <v>0.08560000000000001</v>
      </c>
      <c r="C6" s="28">
        <f>((('31_DCF'!H17+('31_DCF'!G12*(1+C$5)/($B6-C$5))/(1+$B6)^5)-'31_DCF'!H25)/'31_DCF'!H27)</f>
        <v>489.43</v>
      </c>
      <c r="D6" s="28">
        <f>((('31_DCF'!H17+('31_DCF'!G12*(1+D$5)/($B6-D$5))/(1+$B6)^5)-'31_DCF'!H25)/'31_DCF'!H27)</f>
        <v>536.66</v>
      </c>
      <c r="E6" s="28">
        <f>((('31_DCF'!H17+('31_DCF'!G12*(1+E$5)/($B6-E$5))/(1+$B6)^5)-'31_DCF'!H25)/'31_DCF'!H27)</f>
        <v>594.24</v>
      </c>
      <c r="F6" s="28">
        <f>((('31_DCF'!H17+('31_DCF'!G12*(1+F$5)/($B6-F$5))/(1+$B6)^5)-'31_DCF'!H25)/'31_DCF'!H27)</f>
        <v>666</v>
      </c>
      <c r="G6" s="28">
        <f>((('31_DCF'!H17+('31_DCF'!G12*(1+G$5)/($B6-G$5))/(1+$B6)^5)-'31_DCF'!H25)/'31_DCF'!H27)</f>
        <v>757.9299999999999</v>
      </c>
    </row>
    <row r="7">
      <c r="B7" s="50" t="n">
        <v>0.0956</v>
      </c>
      <c r="C7" s="28">
        <f>((('31_DCF'!H17+('31_DCF'!G12*(1+C$5)/($B7-C$5))/(1+$B7)^5)-'31_DCF'!H25)/'31_DCF'!H27)</f>
        <v>400.07</v>
      </c>
      <c r="D7" s="28">
        <f>((('31_DCF'!H17+('31_DCF'!G12*(1+D$5)/($B7-D$5))/(1+$B7)^5)-'31_DCF'!H25)/'31_DCF'!H27)</f>
        <v>432.29</v>
      </c>
      <c r="E7" s="28">
        <f>((('31_DCF'!H17+('31_DCF'!G12*(1+E$5)/($B7-E$5))/(1+$B7)^5)-'31_DCF'!H25)/'31_DCF'!H27)</f>
        <v>470.31</v>
      </c>
      <c r="F7" s="28">
        <f>((('31_DCF'!H17+('31_DCF'!G12*(1+F$5)/($B7-F$5))/(1+$B7)^5)-'31_DCF'!H25)/'31_DCF'!H27)</f>
        <v>515.83</v>
      </c>
      <c r="G7" s="28">
        <f>((('31_DCF'!H17+('31_DCF'!G12*(1+G$5)/($B7-G$5))/(1+$B7)^5)-'31_DCF'!H25)/'31_DCF'!H27)</f>
        <v>571.34</v>
      </c>
    </row>
    <row r="8">
      <c r="B8" s="50" t="n">
        <v>0.1056</v>
      </c>
      <c r="C8" s="28">
        <f>((('31_DCF'!H17+('31_DCF'!G12*(1+C$5)/($B8-C$5))/(1+$B8)^5)-'31_DCF'!H25)/'31_DCF'!H27)</f>
        <v>334.47</v>
      </c>
      <c r="D8" s="28">
        <f>((('31_DCF'!H17+('31_DCF'!G12*(1+D$5)/($B8-D$5))/(1+$B8)^5)-'31_DCF'!H25)/'31_DCF'!H27)</f>
        <v>357.61</v>
      </c>
      <c r="E8" s="28">
        <f>((('31_DCF'!H17+('31_DCF'!G12*(1+E$5)/($B8-E$5))/(1+$B8)^5)-'31_DCF'!H25)/'31_DCF'!H27)</f>
        <v>384.28</v>
      </c>
      <c r="F8" s="28">
        <f>((('31_DCF'!H17+('31_DCF'!G12*(1+F$5)/($B8-F$5))/(1+$B8)^5)-'31_DCF'!H25)/'31_DCF'!H27)</f>
        <v>415.35</v>
      </c>
      <c r="G8" s="28">
        <f>((('31_DCF'!H17+('31_DCF'!G12*(1+G$5)/($B8-G$5))/(1+$B8)^5)-'31_DCF'!H25)/'31_DCF'!H27)</f>
        <v>452</v>
      </c>
    </row>
    <row r="9">
      <c r="B9" s="50" t="n">
        <v>0.1156</v>
      </c>
      <c r="C9" s="28">
        <f>((('31_DCF'!H17+('31_DCF'!G12*(1+C$5)/($B9-C$5))/(1+$B9)^5)-'31_DCF'!H25)/'31_DCF'!H27)</f>
        <v>284.29</v>
      </c>
      <c r="D9" s="28">
        <f>((('31_DCF'!H17+('31_DCF'!G12*(1+D$5)/($B9-D$5))/(1+$B9)^5)-'31_DCF'!H25)/'31_DCF'!H27)</f>
        <v>301.56</v>
      </c>
      <c r="E9" s="28">
        <f>((('31_DCF'!H17+('31_DCF'!G12*(1+E$5)/($B9-E$5))/(1+$B9)^5)-'31_DCF'!H25)/'31_DCF'!H27)</f>
        <v>321.11</v>
      </c>
      <c r="F9" s="28">
        <f>((('31_DCF'!H17+('31_DCF'!G12*(1+F$5)/($B9-F$5))/(1+$B9)^5)-'31_DCF'!H25)/'31_DCF'!H27)</f>
        <v>343.43</v>
      </c>
      <c r="G9" s="28">
        <f>((('31_DCF'!H17+('31_DCF'!G12*(1+G$5)/($B9-G$5))/(1+$B9)^5)-'31_DCF'!H25)/'31_DCF'!H27)</f>
        <v>369.15</v>
      </c>
    </row>
    <row r="10">
      <c r="B10" s="50" t="n">
        <v>0.1256</v>
      </c>
      <c r="C10" s="28">
        <f>((('31_DCF'!H17+('31_DCF'!G12*(1+C$5)/($B10-C$5))/(1+$B10)^5)-'31_DCF'!H25)/'31_DCF'!H27)</f>
        <v>244.68</v>
      </c>
      <c r="D10" s="28">
        <f>((('31_DCF'!H17+('31_DCF'!G12*(1+D$5)/($B10-D$5))/(1+$B10)^5)-'31_DCF'!H25)/'31_DCF'!H27)</f>
        <v>257.95</v>
      </c>
      <c r="E10" s="28">
        <f>((('31_DCF'!H17+('31_DCF'!G12*(1+E$5)/($B10-E$5))/(1+$B10)^5)-'31_DCF'!H25)/'31_DCF'!H27)</f>
        <v>272.77</v>
      </c>
      <c r="F10" s="28">
        <f>((('31_DCF'!H17+('31_DCF'!G12*(1+F$5)/($B10-F$5))/(1+$B10)^5)-'31_DCF'!H25)/'31_DCF'!H27)</f>
        <v>289.43</v>
      </c>
      <c r="G10" s="28">
        <f>((('31_DCF'!H17+('31_DCF'!G12*(1+G$5)/($B10-G$5))/(1+$B10)^5)-'31_DCF'!H25)/'31_DCF'!H27)</f>
        <v>308.3</v>
      </c>
    </row>
    <row r="13">
      <c r="B13" s="5" t="inlineStr">
        <is>
          <t>WACC % \ Multiple</t>
        </is>
      </c>
      <c r="C13" s="51" t="n">
        <v>16</v>
      </c>
      <c r="D13" s="51" t="n">
        <v>18</v>
      </c>
      <c r="E13" s="51" t="n">
        <v>20</v>
      </c>
      <c r="F13" s="51" t="n">
        <v>22</v>
      </c>
      <c r="G13" s="51" t="n">
        <v>24</v>
      </c>
    </row>
    <row r="14">
      <c r="B14" s="50" t="n">
        <v>0.08560000000000001</v>
      </c>
      <c r="C14" s="28">
        <f>((('31_DCF'!H17+('20_Operating_Model'!G9*C$13)/(1+$B14)^5)-'31_DCF'!H25)/'31_DCF'!H27)</f>
        <v>979.7</v>
      </c>
      <c r="D14" s="28">
        <f>((('31_DCF'!H17+('20_Operating_Model'!G9*D$13)/(1+$B14)^5)-'31_DCF'!H25)/'31_DCF'!H27)</f>
        <v>1097.66</v>
      </c>
      <c r="E14" s="28">
        <f>((('31_DCF'!H17+('20_Operating_Model'!G9*E$13)/(1+$B14)^5)-'31_DCF'!H25)/'31_DCF'!H27)</f>
        <v>1215.63</v>
      </c>
      <c r="F14" s="28">
        <f>((('31_DCF'!H17+('20_Operating_Model'!G9*F$13)/(1+$B14)^5)-'31_DCF'!H25)/'31_DCF'!H27)</f>
        <v>1333.59</v>
      </c>
      <c r="G14" s="28">
        <f>((('31_DCF'!H17+('20_Operating_Model'!G9*G$13)/(1+$B14)^5)-'31_DCF'!H25)/'31_DCF'!H27)</f>
        <v>1451.56</v>
      </c>
    </row>
    <row r="15">
      <c r="B15" s="50" t="n">
        <v>0.0956</v>
      </c>
      <c r="C15" s="28">
        <f>((('31_DCF'!H17+('20_Operating_Model'!G9*C$13)/(1+$B15)^5)-'31_DCF'!H25)/'31_DCF'!H27)</f>
        <v>934.4</v>
      </c>
      <c r="D15" s="28">
        <f>((('31_DCF'!H17+('20_Operating_Model'!G9*D$13)/(1+$B15)^5)-'31_DCF'!H25)/'31_DCF'!H27)</f>
        <v>1047.08</v>
      </c>
      <c r="E15" s="28">
        <f>((('31_DCF'!H17+('20_Operating_Model'!G9*E$13)/(1+$B15)^5)-'31_DCF'!H25)/'31_DCF'!H27)</f>
        <v>1159.76</v>
      </c>
      <c r="F15" s="28">
        <f>((('31_DCF'!H17+('20_Operating_Model'!G9*F$13)/(1+$B15)^5)-'31_DCF'!H25)/'31_DCF'!H27)</f>
        <v>1272.43</v>
      </c>
      <c r="G15" s="28">
        <f>((('31_DCF'!H17+('20_Operating_Model'!G9*G$13)/(1+$B15)^5)-'31_DCF'!H25)/'31_DCF'!H27)</f>
        <v>1385.11</v>
      </c>
    </row>
    <row r="16">
      <c r="B16" s="50" t="n">
        <v>0.1056</v>
      </c>
      <c r="C16" s="28">
        <f>((('31_DCF'!H17+('20_Operating_Model'!G9*C$13)/(1+$B16)^5)-'31_DCF'!H25)/'31_DCF'!H27)</f>
        <v>891.47</v>
      </c>
      <c r="D16" s="28">
        <f>((('31_DCF'!H17+('20_Operating_Model'!G9*D$13)/(1+$B16)^5)-'31_DCF'!H25)/'31_DCF'!H27)</f>
        <v>999.14</v>
      </c>
      <c r="E16" s="28">
        <f>((('31_DCF'!H17+('20_Operating_Model'!G9*E$13)/(1+$B16)^5)-'31_DCF'!H25)/'31_DCF'!H27)</f>
        <v>1106.81</v>
      </c>
      <c r="F16" s="28">
        <f>((('31_DCF'!H17+('20_Operating_Model'!G9*F$13)/(1+$B16)^5)-'31_DCF'!H25)/'31_DCF'!H27)</f>
        <v>1214.49</v>
      </c>
      <c r="G16" s="28">
        <f>((('31_DCF'!H17+('20_Operating_Model'!G9*G$13)/(1+$B16)^5)-'31_DCF'!H25)/'31_DCF'!H27)</f>
        <v>1322.16</v>
      </c>
    </row>
    <row r="17">
      <c r="B17" s="50" t="n">
        <v>0.1156</v>
      </c>
      <c r="C17" s="28">
        <f>((('31_DCF'!H17+('20_Operating_Model'!G9*C$13)/(1+$B17)^5)-'31_DCF'!H25)/'31_DCF'!H27)</f>
        <v>850.76</v>
      </c>
      <c r="D17" s="28">
        <f>((('31_DCF'!H17+('20_Operating_Model'!G9*D$13)/(1+$B17)^5)-'31_DCF'!H25)/'31_DCF'!H27)</f>
        <v>953.6900000000001</v>
      </c>
      <c r="E17" s="28">
        <f>((('31_DCF'!H17+('20_Operating_Model'!G9*E$13)/(1+$B17)^5)-'31_DCF'!H25)/'31_DCF'!H27)</f>
        <v>1056.62</v>
      </c>
      <c r="F17" s="28">
        <f>((('31_DCF'!H17+('20_Operating_Model'!G9*F$13)/(1+$B17)^5)-'31_DCF'!H25)/'31_DCF'!H27)</f>
        <v>1159.56</v>
      </c>
      <c r="G17" s="28">
        <f>((('31_DCF'!H17+('20_Operating_Model'!G9*G$13)/(1+$B17)^5)-'31_DCF'!H25)/'31_DCF'!H27)</f>
        <v>1262.49</v>
      </c>
    </row>
    <row r="18">
      <c r="B18" s="50" t="n">
        <v>0.1256</v>
      </c>
      <c r="C18" s="28">
        <f>((('31_DCF'!H17+('20_Operating_Model'!G9*C$13)/(1+$B18)^5)-'31_DCF'!H25)/'31_DCF'!H27)</f>
        <v>812.13</v>
      </c>
      <c r="D18" s="28">
        <f>((('31_DCF'!H17+('20_Operating_Model'!G9*D$13)/(1+$B18)^5)-'31_DCF'!H25)/'31_DCF'!H27)</f>
        <v>910.58</v>
      </c>
      <c r="E18" s="28">
        <f>((('31_DCF'!H17+('20_Operating_Model'!G9*E$13)/(1+$B18)^5)-'31_DCF'!H25)/'31_DCF'!H27)</f>
        <v>1009.02</v>
      </c>
      <c r="F18" s="28">
        <f>((('31_DCF'!H17+('20_Operating_Model'!G9*F$13)/(1+$B18)^5)-'31_DCF'!H25)/'31_DCF'!H27)</f>
        <v>1107.46</v>
      </c>
      <c r="G18" s="28">
        <f>((('31_DCF'!H17+('20_Operating_Model'!G9*G$13)/(1+$B18)^5)-'31_DCF'!H25)/'31_DCF'!H27)</f>
        <v>1205.9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45" customWidth="1" min="4" max="4"/>
  </cols>
  <sheetData>
    <row r="2">
      <c r="B2" s="3" t="inlineStr">
        <is>
          <t>REVERSE DCF ANALYSIS</t>
        </is>
      </c>
    </row>
    <row r="3">
      <c r="B3" s="4" t="inlineStr">
        <is>
          <t>Market Price Implied Perpetuity Growth Rate</t>
        </is>
      </c>
    </row>
    <row r="5">
      <c r="B5" s="11" t="inlineStr">
        <is>
          <t>Reverse DCF Parameter</t>
        </is>
      </c>
      <c r="C5" s="12" t="inlineStr">
        <is>
          <t>Value</t>
        </is>
      </c>
      <c r="D5" s="12" t="inlineStr">
        <is>
          <t>Methodology Notes</t>
        </is>
      </c>
    </row>
    <row r="6">
      <c r="B6" s="7" t="inlineStr">
        <is>
          <t>Current Market Benchmark Price (INR)</t>
        </is>
      </c>
      <c r="C6" s="52" t="n">
        <v>235.35</v>
      </c>
      <c r="D6" s="35" t="inlineStr">
        <is>
          <t>Market price input</t>
        </is>
      </c>
    </row>
    <row r="7">
      <c r="B7" s="7" t="inlineStr">
        <is>
          <t>Market Implied Equity Value (INR Cr)</t>
        </is>
      </c>
      <c r="C7" s="22">
        <f>C6*'27_Share_Count'!E6</f>
        <v>296059.167945</v>
      </c>
      <c r="D7" s="35" t="inlineStr">
        <is>
          <t>Market Price * Diluted Shares</t>
        </is>
      </c>
    </row>
    <row r="8">
      <c r="B8" s="7" t="inlineStr">
        <is>
          <t>Market Implied EV (INR Cr)</t>
        </is>
      </c>
      <c r="C8" s="22">
        <f>C7+137907.04</f>
        <v>433966.207945</v>
      </c>
      <c r="D8" s="35" t="inlineStr">
        <is>
          <t>Implied Equity Value + Net Debt</t>
        </is>
      </c>
    </row>
    <row r="9">
      <c r="B9" s="7" t="inlineStr">
        <is>
          <t>Market Implied PV of TV (INR Cr)</t>
        </is>
      </c>
      <c r="C9" s="22">
        <f>C8-'31_DCF'!H17</f>
        <v>258211.007945</v>
      </c>
      <c r="D9" s="35" t="inlineStr">
        <is>
          <t>Implied EV - Cumulative PV(FCFF)</t>
        </is>
      </c>
    </row>
    <row r="10">
      <c r="B10" s="20" t="inlineStr">
        <is>
          <t>MARKET IMPLIED TERMINAL GROWTH %</t>
        </is>
      </c>
      <c r="C10" s="38">
        <f>((C9*(1+'30_WACC'!C15)^5*'30_WACC'!C15 - '31_DCF'!G12)/(C9*(1+'30_WACC'!C15)^5 + '31_DCF'!G12))</f>
        <v>-0.002971</v>
      </c>
      <c r="D10" s="39" t="inlineStr">
        <is>
          <t>Solved exact implied perpetuity growth rate for market price INR 235.35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2">
      <c r="B2" s="3" t="inlineStr">
        <is>
          <t>SCENARIO ANALYSIS COMPARISON</t>
        </is>
      </c>
    </row>
    <row r="3">
      <c r="B3" s="4" t="inlineStr">
        <is>
          <t>Base, Bull, and Bear Scenarios Side-by-Side</t>
        </is>
      </c>
    </row>
    <row r="5">
      <c r="B5" s="11" t="inlineStr">
        <is>
          <t>Valuation Metric / Driver</t>
        </is>
      </c>
      <c r="C5" s="12" t="inlineStr">
        <is>
          <t>Base Scenario</t>
        </is>
      </c>
      <c r="D5" s="12" t="inlineStr">
        <is>
          <t>Bull Scenario</t>
        </is>
      </c>
      <c r="E5" s="12" t="inlineStr">
        <is>
          <t>Bear Scenario</t>
        </is>
      </c>
    </row>
    <row r="6">
      <c r="B6" s="26" t="inlineStr">
        <is>
          <t>Implied Share Price (INR)</t>
        </is>
      </c>
      <c r="C6" s="21" t="n">
        <v>384.52</v>
      </c>
      <c r="D6" s="21" t="n">
        <v>633.9400000000001</v>
      </c>
      <c r="E6" s="21" t="n">
        <v>206.99</v>
      </c>
    </row>
    <row r="7">
      <c r="B7" s="26" t="inlineStr">
        <is>
          <t>Enterprise Value (INR Cr)</t>
        </is>
      </c>
      <c r="C7" s="22" t="n">
        <v>621614.38</v>
      </c>
      <c r="D7" s="22" t="n">
        <v>935375.79</v>
      </c>
      <c r="E7" s="22" t="n">
        <v>398296.65</v>
      </c>
    </row>
    <row r="8">
      <c r="B8" s="26" t="inlineStr">
        <is>
          <t>Net Cash / (Debt) (INR Cr)</t>
        </is>
      </c>
      <c r="C8" s="22" t="n">
        <v>-137907.04</v>
      </c>
      <c r="D8" s="22" t="n">
        <v>-137907.04</v>
      </c>
      <c r="E8" s="22" t="n">
        <v>-137907.04</v>
      </c>
    </row>
    <row r="9">
      <c r="B9" s="26" t="inlineStr">
        <is>
          <t>Equity Value (INR Cr)</t>
        </is>
      </c>
      <c r="C9" s="22" t="n">
        <v>483707.34</v>
      </c>
      <c r="D9" s="22" t="n">
        <v>797468.76</v>
      </c>
      <c r="E9" s="22" t="n">
        <v>260389.62</v>
      </c>
    </row>
    <row r="10">
      <c r="B10" s="26" t="inlineStr">
        <is>
          <t>Diluted Shares</t>
        </is>
      </c>
      <c r="C10" s="23" t="n">
        <v>1257.9527</v>
      </c>
      <c r="D10" s="23" t="n">
        <v>1257.9527</v>
      </c>
      <c r="E10" s="23" t="n">
        <v>1257.9527</v>
      </c>
    </row>
    <row r="11">
      <c r="B11" s="26" t="inlineStr">
        <is>
          <t>Discount Rate (WACC %)</t>
        </is>
      </c>
      <c r="C11" s="24" t="n">
        <v>0.105567</v>
      </c>
      <c r="D11" s="24" t="n">
        <v>0.105567</v>
      </c>
      <c r="E11" s="24" t="n">
        <v>0.105567</v>
      </c>
    </row>
    <row r="12">
      <c r="B12" s="26" t="inlineStr">
        <is>
          <t>Terminal Growth Rate %</t>
        </is>
      </c>
      <c r="C12" s="24" t="n">
        <v>0.04</v>
      </c>
      <c r="D12" s="24" t="n">
        <v>0.04</v>
      </c>
      <c r="E12" s="24" t="n">
        <v>0.04</v>
      </c>
    </row>
    <row r="13">
      <c r="B13" s="26" t="inlineStr">
        <is>
          <t>FY31 Revenue (INR Cr)</t>
        </is>
      </c>
      <c r="C13" s="22" t="n">
        <v>622105.6758214566</v>
      </c>
      <c r="D13" s="22" t="n">
        <v>792948.4995093565</v>
      </c>
      <c r="E13" s="22" t="n">
        <v>482066.8074635253</v>
      </c>
    </row>
    <row r="14">
      <c r="B14" s="26" t="inlineStr">
        <is>
          <t>FY31 EBITDA Margin %</t>
        </is>
      </c>
      <c r="C14" s="24" t="n">
        <v>0.179833</v>
      </c>
      <c r="D14" s="24" t="n">
        <v>0.204833</v>
      </c>
      <c r="E14" s="24" t="n">
        <v>0.154833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5" customWidth="1" min="3" max="3"/>
    <col width="15" customWidth="1" min="4" max="4"/>
    <col width="40" customWidth="1" min="5" max="5"/>
  </cols>
  <sheetData>
    <row r="2">
      <c r="B2" s="3" t="inlineStr">
        <is>
          <t>DATA SOURCES &amp; PROVENANCE METADATA</t>
        </is>
      </c>
    </row>
    <row r="5">
      <c r="B5" s="11" t="inlineStr">
        <is>
          <t>Canonical Key / Line Item</t>
        </is>
      </c>
      <c r="C5" s="12" t="inlineStr">
        <is>
          <t>Period</t>
        </is>
      </c>
      <c r="D5" s="12" t="inlineStr">
        <is>
          <t>Status</t>
        </is>
      </c>
      <c r="E5" s="12" t="inlineStr">
        <is>
          <t>Source / Derivation Lineage</t>
        </is>
      </c>
    </row>
    <row r="6">
      <c r="B6" s="7" t="inlineStr">
        <is>
          <t>canonical.is.revenue</t>
        </is>
      </c>
      <c r="C6" s="8" t="inlineStr">
        <is>
          <t>FY24-FY26</t>
        </is>
      </c>
      <c r="D6" s="25" t="inlineStr">
        <is>
          <t>Reported</t>
        </is>
      </c>
      <c r="E6" s="8" t="inlineStr">
        <is>
          <t>Oil &amp; Natural Gas Corporation Limited Audited Financial Statements (INDIA regulatory filing)</t>
        </is>
      </c>
    </row>
    <row r="7">
      <c r="B7" s="7" t="inlineStr">
        <is>
          <t>canonical.is.cost_of_sales</t>
        </is>
      </c>
      <c r="C7" s="8" t="inlineStr">
        <is>
          <t>FY24-FY26</t>
        </is>
      </c>
      <c r="D7" s="25" t="inlineStr">
        <is>
          <t>Reported</t>
        </is>
      </c>
      <c r="E7" s="8" t="inlineStr">
        <is>
          <t>Oil &amp; Natural Gas Corporation Limited Audited Financial Statements (INDIA regulatory filing)</t>
        </is>
      </c>
    </row>
    <row r="8">
      <c r="B8" s="7" t="inlineStr">
        <is>
          <t>canonical.is.ebitda</t>
        </is>
      </c>
      <c r="C8" s="8" t="inlineStr">
        <is>
          <t>FY24-FY26</t>
        </is>
      </c>
      <c r="D8" s="25" t="inlineStr">
        <is>
          <t>Derived</t>
        </is>
      </c>
      <c r="E8" s="8" t="inlineStr">
        <is>
          <t>Derived formula: Operating Profit + Depreciation &amp; Amortization</t>
        </is>
      </c>
    </row>
    <row r="9">
      <c r="B9" s="7" t="inlineStr">
        <is>
          <t>canonical.bs.cash_and_bank</t>
        </is>
      </c>
      <c r="C9" s="8" t="inlineStr">
        <is>
          <t>FY24-FY26</t>
        </is>
      </c>
      <c r="D9" s="25" t="inlineStr">
        <is>
          <t>Reported</t>
        </is>
      </c>
      <c r="E9" s="8" t="inlineStr">
        <is>
          <t>Oil &amp; Natural Gas Corporation Limited Consolidated Balance Sheet</t>
        </is>
      </c>
    </row>
    <row r="10">
      <c r="B10" s="7" t="inlineStr">
        <is>
          <t>canonical.bs.total_assets</t>
        </is>
      </c>
      <c r="C10" s="8" t="inlineStr">
        <is>
          <t>FY24-FY26</t>
        </is>
      </c>
      <c r="D10" s="25" t="inlineStr">
        <is>
          <t>Reported</t>
        </is>
      </c>
      <c r="E10" s="8" t="inlineStr">
        <is>
          <t>Oil &amp; Natural Gas Corporation Limited Consolidated Balance Sheet</t>
        </is>
      </c>
    </row>
    <row r="11">
      <c r="B11" s="7" t="inlineStr">
        <is>
          <t>canonical.cf.operating_activities</t>
        </is>
      </c>
      <c r="C11" s="8" t="inlineStr">
        <is>
          <t>FY24-FY26</t>
        </is>
      </c>
      <c r="D11" s="25" t="inlineStr">
        <is>
          <t>Reported</t>
        </is>
      </c>
      <c r="E11" s="8" t="inlineStr">
        <is>
          <t>Oil &amp; Natural Gas Corporation Limited Consolidated Cash Flow Statement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G5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  <col width="40" customWidth="1" min="7" max="7"/>
  </cols>
  <sheetData>
    <row r="2">
      <c r="B2" s="3" t="inlineStr">
        <is>
          <t>ASSUMPTION AUDIT LOG</t>
        </is>
      </c>
    </row>
    <row r="5">
      <c r="B5" s="11" t="inlineStr">
        <is>
          <t>Driver Key</t>
        </is>
      </c>
      <c r="C5" s="12" t="inlineStr">
        <is>
          <t>Period</t>
        </is>
      </c>
      <c r="D5" s="12" t="inlineStr">
        <is>
          <t>Scenario</t>
        </is>
      </c>
      <c r="E5" s="12" t="inlineStr">
        <is>
          <t>Value</t>
        </is>
      </c>
      <c r="F5" s="12" t="inlineStr">
        <is>
          <t>Type</t>
        </is>
      </c>
      <c r="G5" s="12" t="inlineStr">
        <is>
          <t>Source / Provenance Method</t>
        </is>
      </c>
    </row>
    <row r="6">
      <c r="B6" s="7" t="inlineStr">
        <is>
          <t>revenue_growth</t>
        </is>
      </c>
      <c r="C6" s="8" t="inlineStr">
        <is>
          <t>FY27</t>
        </is>
      </c>
      <c r="D6" s="8" t="inlineStr">
        <is>
          <t>base</t>
        </is>
      </c>
      <c r="E6" s="53" t="n">
        <v>0.55</v>
      </c>
      <c r="F6" s="8" t="inlineStr">
        <is>
          <t>model_generated</t>
        </is>
      </c>
      <c r="G6" s="8" t="inlineStr">
        <is>
          <t>CAGR (FY24-FY26: 0.6%) faded by factor 1.00</t>
        </is>
      </c>
    </row>
    <row r="7">
      <c r="B7" s="7" t="inlineStr">
        <is>
          <t>revenue_growth</t>
        </is>
      </c>
      <c r="C7" s="8" t="inlineStr">
        <is>
          <t>FY28</t>
        </is>
      </c>
      <c r="D7" s="8" t="inlineStr">
        <is>
          <t>base</t>
        </is>
      </c>
      <c r="E7" s="53" t="n">
        <v>0.55</v>
      </c>
      <c r="F7" s="8" t="inlineStr">
        <is>
          <t>model_generated</t>
        </is>
      </c>
      <c r="G7" s="8" t="inlineStr">
        <is>
          <t>CAGR (FY24-FY26: 0.6%) faded by factor 1.00</t>
        </is>
      </c>
    </row>
    <row r="8">
      <c r="B8" s="7" t="inlineStr">
        <is>
          <t>revenue_growth</t>
        </is>
      </c>
      <c r="C8" s="8" t="inlineStr">
        <is>
          <t>FY29</t>
        </is>
      </c>
      <c r="D8" s="8" t="inlineStr">
        <is>
          <t>base</t>
        </is>
      </c>
      <c r="E8" s="53" t="n">
        <v>0.55</v>
      </c>
      <c r="F8" s="8" t="inlineStr">
        <is>
          <t>model_generated</t>
        </is>
      </c>
      <c r="G8" s="8" t="inlineStr">
        <is>
          <t>CAGR (FY24-FY26: 0.6%) faded by factor 1.00</t>
        </is>
      </c>
    </row>
    <row r="9">
      <c r="B9" s="7" t="inlineStr">
        <is>
          <t>revenue_growth</t>
        </is>
      </c>
      <c r="C9" s="8" t="inlineStr">
        <is>
          <t>FY30</t>
        </is>
      </c>
      <c r="D9" s="8" t="inlineStr">
        <is>
          <t>base</t>
        </is>
      </c>
      <c r="E9" s="53" t="n">
        <v>0.55</v>
      </c>
      <c r="F9" s="8" t="inlineStr">
        <is>
          <t>model_generated</t>
        </is>
      </c>
      <c r="G9" s="8" t="inlineStr">
        <is>
          <t>CAGR (FY24-FY26: 0.6%) faded by factor 1.00</t>
        </is>
      </c>
    </row>
    <row r="10">
      <c r="B10" s="7" t="inlineStr">
        <is>
          <t>revenue_growth</t>
        </is>
      </c>
      <c r="C10" s="8" t="inlineStr">
        <is>
          <t>FY31</t>
        </is>
      </c>
      <c r="D10" s="8" t="inlineStr">
        <is>
          <t>base</t>
        </is>
      </c>
      <c r="E10" s="53" t="n">
        <v>0.55</v>
      </c>
      <c r="F10" s="8" t="inlineStr">
        <is>
          <t>model_generated</t>
        </is>
      </c>
      <c r="G10" s="8" t="inlineStr">
        <is>
          <t>CAGR (FY24-FY26: 0.6%) faded by factor 1.00</t>
        </is>
      </c>
    </row>
    <row r="11">
      <c r="B11" s="7" t="inlineStr">
        <is>
          <t>ebitda_margin</t>
        </is>
      </c>
      <c r="C11" s="8" t="inlineStr">
        <is>
          <t>FY27</t>
        </is>
      </c>
      <c r="D11" s="8" t="inlineStr">
        <is>
          <t>base</t>
        </is>
      </c>
      <c r="E11" s="53" t="n">
        <v>17.9833</v>
      </c>
      <c r="F11" s="8" t="inlineStr">
        <is>
          <t>model_generated</t>
        </is>
      </c>
      <c r="G11" s="8" t="inlineStr">
        <is>
          <t>Multi-year average EBITDA margin (FY24-FY26)</t>
        </is>
      </c>
    </row>
    <row r="12">
      <c r="B12" s="7" t="inlineStr">
        <is>
          <t>ebitda_margin</t>
        </is>
      </c>
      <c r="C12" s="8" t="inlineStr">
        <is>
          <t>FY28</t>
        </is>
      </c>
      <c r="D12" s="8" t="inlineStr">
        <is>
          <t>base</t>
        </is>
      </c>
      <c r="E12" s="53" t="n">
        <v>17.9833</v>
      </c>
      <c r="F12" s="8" t="inlineStr">
        <is>
          <t>model_generated</t>
        </is>
      </c>
      <c r="G12" s="8" t="inlineStr">
        <is>
          <t>Multi-year average EBITDA margin (FY24-FY26)</t>
        </is>
      </c>
    </row>
    <row r="13">
      <c r="B13" s="7" t="inlineStr">
        <is>
          <t>ebitda_margin</t>
        </is>
      </c>
      <c r="C13" s="8" t="inlineStr">
        <is>
          <t>FY29</t>
        </is>
      </c>
      <c r="D13" s="8" t="inlineStr">
        <is>
          <t>base</t>
        </is>
      </c>
      <c r="E13" s="53" t="n">
        <v>17.9833</v>
      </c>
      <c r="F13" s="8" t="inlineStr">
        <is>
          <t>model_generated</t>
        </is>
      </c>
      <c r="G13" s="8" t="inlineStr">
        <is>
          <t>Multi-year average EBITDA margin (FY24-FY26)</t>
        </is>
      </c>
    </row>
    <row r="14">
      <c r="B14" s="7" t="inlineStr">
        <is>
          <t>ebitda_margin</t>
        </is>
      </c>
      <c r="C14" s="8" t="inlineStr">
        <is>
          <t>FY30</t>
        </is>
      </c>
      <c r="D14" s="8" t="inlineStr">
        <is>
          <t>base</t>
        </is>
      </c>
      <c r="E14" s="53" t="n">
        <v>17.9833</v>
      </c>
      <c r="F14" s="8" t="inlineStr">
        <is>
          <t>model_generated</t>
        </is>
      </c>
      <c r="G14" s="8" t="inlineStr">
        <is>
          <t>Multi-year average EBITDA margin (FY24-FY26)</t>
        </is>
      </c>
    </row>
    <row r="15">
      <c r="B15" s="7" t="inlineStr">
        <is>
          <t>ebitda_margin</t>
        </is>
      </c>
      <c r="C15" s="8" t="inlineStr">
        <is>
          <t>FY31</t>
        </is>
      </c>
      <c r="D15" s="8" t="inlineStr">
        <is>
          <t>base</t>
        </is>
      </c>
      <c r="E15" s="53" t="n">
        <v>17.9833</v>
      </c>
      <c r="F15" s="8" t="inlineStr">
        <is>
          <t>model_generated</t>
        </is>
      </c>
      <c r="G15" s="8" t="inlineStr">
        <is>
          <t>Multi-year average EBITDA margin (FY24-FY26)</t>
        </is>
      </c>
    </row>
    <row r="16">
      <c r="B16" s="7" t="inlineStr">
        <is>
          <t>ebit_margin</t>
        </is>
      </c>
      <c r="C16" s="8" t="inlineStr">
        <is>
          <t>FY27</t>
        </is>
      </c>
      <c r="D16" s="8" t="inlineStr">
        <is>
          <t>base</t>
        </is>
      </c>
      <c r="E16" s="53" t="n">
        <v>12.28</v>
      </c>
      <c r="F16" s="8" t="inlineStr">
        <is>
          <t>model_generated</t>
        </is>
      </c>
      <c r="G16" s="8" t="inlineStr">
        <is>
          <t>Multi-year average operating margin (FY24-FY26)</t>
        </is>
      </c>
    </row>
    <row r="17">
      <c r="B17" s="7" t="inlineStr">
        <is>
          <t>ebit_margin</t>
        </is>
      </c>
      <c r="C17" s="8" t="inlineStr">
        <is>
          <t>FY28</t>
        </is>
      </c>
      <c r="D17" s="8" t="inlineStr">
        <is>
          <t>base</t>
        </is>
      </c>
      <c r="E17" s="53" t="n">
        <v>12.28</v>
      </c>
      <c r="F17" s="8" t="inlineStr">
        <is>
          <t>model_generated</t>
        </is>
      </c>
      <c r="G17" s="8" t="inlineStr">
        <is>
          <t>Multi-year average operating margin (FY24-FY26)</t>
        </is>
      </c>
    </row>
    <row r="18">
      <c r="B18" s="7" t="inlineStr">
        <is>
          <t>ebit_margin</t>
        </is>
      </c>
      <c r="C18" s="8" t="inlineStr">
        <is>
          <t>FY29</t>
        </is>
      </c>
      <c r="D18" s="8" t="inlineStr">
        <is>
          <t>base</t>
        </is>
      </c>
      <c r="E18" s="53" t="n">
        <v>12.28</v>
      </c>
      <c r="F18" s="8" t="inlineStr">
        <is>
          <t>model_generated</t>
        </is>
      </c>
      <c r="G18" s="8" t="inlineStr">
        <is>
          <t>Multi-year average operating margin (FY24-FY26)</t>
        </is>
      </c>
    </row>
    <row r="19">
      <c r="B19" s="7" t="inlineStr">
        <is>
          <t>ebit_margin</t>
        </is>
      </c>
      <c r="C19" s="8" t="inlineStr">
        <is>
          <t>FY30</t>
        </is>
      </c>
      <c r="D19" s="8" t="inlineStr">
        <is>
          <t>base</t>
        </is>
      </c>
      <c r="E19" s="53" t="n">
        <v>12.28</v>
      </c>
      <c r="F19" s="8" t="inlineStr">
        <is>
          <t>model_generated</t>
        </is>
      </c>
      <c r="G19" s="8" t="inlineStr">
        <is>
          <t>Multi-year average operating margin (FY24-FY26)</t>
        </is>
      </c>
    </row>
    <row r="20">
      <c r="B20" s="7" t="inlineStr">
        <is>
          <t>ebit_margin</t>
        </is>
      </c>
      <c r="C20" s="8" t="inlineStr">
        <is>
          <t>FY31</t>
        </is>
      </c>
      <c r="D20" s="8" t="inlineStr">
        <is>
          <t>base</t>
        </is>
      </c>
      <c r="E20" s="53" t="n">
        <v>12.28</v>
      </c>
      <c r="F20" s="8" t="inlineStr">
        <is>
          <t>model_generated</t>
        </is>
      </c>
      <c r="G20" s="8" t="inlineStr">
        <is>
          <t>Multi-year average operating margin (FY24-FY26)</t>
        </is>
      </c>
    </row>
    <row r="21">
      <c r="B21" s="7" t="inlineStr">
        <is>
          <t>da_pct_revenue</t>
        </is>
      </c>
      <c r="C21" s="8" t="inlineStr">
        <is>
          <t>FY27</t>
        </is>
      </c>
      <c r="D21" s="8" t="inlineStr">
        <is>
          <t>base</t>
        </is>
      </c>
      <c r="E21" s="53" t="n">
        <v>5.7067</v>
      </c>
      <c r="F21" s="8" t="inlineStr">
        <is>
          <t>model_generated</t>
        </is>
      </c>
      <c r="G21" s="8" t="inlineStr">
        <is>
          <t>Multi-year average D&amp;A % revenue (FY24-FY26)</t>
        </is>
      </c>
    </row>
    <row r="22">
      <c r="B22" s="7" t="inlineStr">
        <is>
          <t>da_pct_revenue</t>
        </is>
      </c>
      <c r="C22" s="8" t="inlineStr">
        <is>
          <t>FY28</t>
        </is>
      </c>
      <c r="D22" s="8" t="inlineStr">
        <is>
          <t>base</t>
        </is>
      </c>
      <c r="E22" s="53" t="n">
        <v>5.7067</v>
      </c>
      <c r="F22" s="8" t="inlineStr">
        <is>
          <t>model_generated</t>
        </is>
      </c>
      <c r="G22" s="8" t="inlineStr">
        <is>
          <t>Multi-year average D&amp;A % revenue (FY24-FY26)</t>
        </is>
      </c>
    </row>
    <row r="23">
      <c r="B23" s="7" t="inlineStr">
        <is>
          <t>da_pct_revenue</t>
        </is>
      </c>
      <c r="C23" s="8" t="inlineStr">
        <is>
          <t>FY29</t>
        </is>
      </c>
      <c r="D23" s="8" t="inlineStr">
        <is>
          <t>base</t>
        </is>
      </c>
      <c r="E23" s="53" t="n">
        <v>5.7067</v>
      </c>
      <c r="F23" s="8" t="inlineStr">
        <is>
          <t>model_generated</t>
        </is>
      </c>
      <c r="G23" s="8" t="inlineStr">
        <is>
          <t>Multi-year average D&amp;A % revenue (FY24-FY26)</t>
        </is>
      </c>
    </row>
    <row r="24">
      <c r="B24" s="7" t="inlineStr">
        <is>
          <t>da_pct_revenue</t>
        </is>
      </c>
      <c r="C24" s="8" t="inlineStr">
        <is>
          <t>FY30</t>
        </is>
      </c>
      <c r="D24" s="8" t="inlineStr">
        <is>
          <t>base</t>
        </is>
      </c>
      <c r="E24" s="53" t="n">
        <v>5.7067</v>
      </c>
      <c r="F24" s="8" t="inlineStr">
        <is>
          <t>model_generated</t>
        </is>
      </c>
      <c r="G24" s="8" t="inlineStr">
        <is>
          <t>Multi-year average D&amp;A % revenue (FY24-FY26)</t>
        </is>
      </c>
    </row>
    <row r="25">
      <c r="B25" s="7" t="inlineStr">
        <is>
          <t>da_pct_revenue</t>
        </is>
      </c>
      <c r="C25" s="8" t="inlineStr">
        <is>
          <t>FY31</t>
        </is>
      </c>
      <c r="D25" s="8" t="inlineStr">
        <is>
          <t>base</t>
        </is>
      </c>
      <c r="E25" s="53" t="n">
        <v>5.7067</v>
      </c>
      <c r="F25" s="8" t="inlineStr">
        <is>
          <t>model_generated</t>
        </is>
      </c>
      <c r="G25" s="8" t="inlineStr">
        <is>
          <t>Multi-year average D&amp;A % revenue (FY24-FY26)</t>
        </is>
      </c>
    </row>
    <row r="26">
      <c r="B26" s="7" t="inlineStr">
        <is>
          <t>tax_rate</t>
        </is>
      </c>
      <c r="C26" s="8" t="inlineStr">
        <is>
          <t>FY27</t>
        </is>
      </c>
      <c r="D26" s="8" t="inlineStr">
        <is>
          <t>base</t>
        </is>
      </c>
      <c r="E26" s="53" t="n">
        <v>26.05</v>
      </c>
      <c r="F26" s="8" t="inlineStr">
        <is>
          <t>model_generated</t>
        </is>
      </c>
      <c r="G26" s="8" t="inlineStr">
        <is>
          <t>Multi-year average effective tax rate (FY24-FY26)</t>
        </is>
      </c>
    </row>
    <row r="27">
      <c r="B27" s="7" t="inlineStr">
        <is>
          <t>tax_rate</t>
        </is>
      </c>
      <c r="C27" s="8" t="inlineStr">
        <is>
          <t>FY28</t>
        </is>
      </c>
      <c r="D27" s="8" t="inlineStr">
        <is>
          <t>base</t>
        </is>
      </c>
      <c r="E27" s="53" t="n">
        <v>26.05</v>
      </c>
      <c r="F27" s="8" t="inlineStr">
        <is>
          <t>model_generated</t>
        </is>
      </c>
      <c r="G27" s="8" t="inlineStr">
        <is>
          <t>Multi-year average effective tax rate (FY24-FY26)</t>
        </is>
      </c>
    </row>
    <row r="28">
      <c r="B28" s="7" t="inlineStr">
        <is>
          <t>tax_rate</t>
        </is>
      </c>
      <c r="C28" s="8" t="inlineStr">
        <is>
          <t>FY29</t>
        </is>
      </c>
      <c r="D28" s="8" t="inlineStr">
        <is>
          <t>base</t>
        </is>
      </c>
      <c r="E28" s="53" t="n">
        <v>25.83</v>
      </c>
      <c r="F28" s="8" t="inlineStr">
        <is>
          <t>model_generated</t>
        </is>
      </c>
      <c r="G28" s="8" t="inlineStr">
        <is>
          <t>Effective tax rate (26.1%) fading to statutory (25.2%)</t>
        </is>
      </c>
    </row>
    <row r="29">
      <c r="B29" s="7" t="inlineStr">
        <is>
          <t>tax_rate</t>
        </is>
      </c>
      <c r="C29" s="8" t="inlineStr">
        <is>
          <t>FY30</t>
        </is>
      </c>
      <c r="D29" s="8" t="inlineStr">
        <is>
          <t>base</t>
        </is>
      </c>
      <c r="E29" s="53" t="n">
        <v>25.61</v>
      </c>
      <c r="F29" s="8" t="inlineStr">
        <is>
          <t>model_generated</t>
        </is>
      </c>
      <c r="G29" s="8" t="inlineStr">
        <is>
          <t>Effective tax rate (26.1%) fading to statutory (25.2%)</t>
        </is>
      </c>
    </row>
    <row r="30">
      <c r="B30" s="7" t="inlineStr">
        <is>
          <t>tax_rate</t>
        </is>
      </c>
      <c r="C30" s="8" t="inlineStr">
        <is>
          <t>FY31</t>
        </is>
      </c>
      <c r="D30" s="8" t="inlineStr">
        <is>
          <t>base</t>
        </is>
      </c>
      <c r="E30" s="53" t="n">
        <v>25.39</v>
      </c>
      <c r="F30" s="8" t="inlineStr">
        <is>
          <t>model_generated</t>
        </is>
      </c>
      <c r="G30" s="8" t="inlineStr">
        <is>
          <t>Effective tax rate (26.1%) fading to statutory (25.2%)</t>
        </is>
      </c>
    </row>
    <row r="31">
      <c r="B31" s="7" t="inlineStr">
        <is>
          <t>dso_days</t>
        </is>
      </c>
      <c r="C31" s="8" t="inlineStr">
        <is>
          <t>FY27</t>
        </is>
      </c>
      <c r="D31" s="8" t="inlineStr">
        <is>
          <t>base</t>
        </is>
      </c>
      <c r="E31" s="53" t="n">
        <v>13.3</v>
      </c>
      <c r="F31" s="8" t="inlineStr">
        <is>
          <t>model_generated</t>
        </is>
      </c>
      <c r="G31" s="8" t="inlineStr">
        <is>
          <t>most recent period DSO (FY26)</t>
        </is>
      </c>
    </row>
    <row r="32">
      <c r="B32" s="7" t="inlineStr">
        <is>
          <t>dso_days</t>
        </is>
      </c>
      <c r="C32" s="8" t="inlineStr">
        <is>
          <t>FY28</t>
        </is>
      </c>
      <c r="D32" s="8" t="inlineStr">
        <is>
          <t>base</t>
        </is>
      </c>
      <c r="E32" s="53" t="n">
        <v>13.3</v>
      </c>
      <c r="F32" s="8" t="inlineStr">
        <is>
          <t>model_generated</t>
        </is>
      </c>
      <c r="G32" s="8" t="inlineStr">
        <is>
          <t>most recent period DSO (FY26)</t>
        </is>
      </c>
    </row>
    <row r="33">
      <c r="B33" s="7" t="inlineStr">
        <is>
          <t>dso_days</t>
        </is>
      </c>
      <c r="C33" s="8" t="inlineStr">
        <is>
          <t>FY29</t>
        </is>
      </c>
      <c r="D33" s="8" t="inlineStr">
        <is>
          <t>base</t>
        </is>
      </c>
      <c r="E33" s="53" t="n">
        <v>13.3</v>
      </c>
      <c r="F33" s="8" t="inlineStr">
        <is>
          <t>model_generated</t>
        </is>
      </c>
      <c r="G33" s="8" t="inlineStr">
        <is>
          <t>most recent period DSO (FY26)</t>
        </is>
      </c>
    </row>
    <row r="34">
      <c r="B34" s="7" t="inlineStr">
        <is>
          <t>dso_days</t>
        </is>
      </c>
      <c r="C34" s="8" t="inlineStr">
        <is>
          <t>FY30</t>
        </is>
      </c>
      <c r="D34" s="8" t="inlineStr">
        <is>
          <t>base</t>
        </is>
      </c>
      <c r="E34" s="53" t="n">
        <v>13.3</v>
      </c>
      <c r="F34" s="8" t="inlineStr">
        <is>
          <t>model_generated</t>
        </is>
      </c>
      <c r="G34" s="8" t="inlineStr">
        <is>
          <t>most recent period DSO (FY26)</t>
        </is>
      </c>
    </row>
    <row r="35">
      <c r="B35" s="7" t="inlineStr">
        <is>
          <t>dso_days</t>
        </is>
      </c>
      <c r="C35" s="8" t="inlineStr">
        <is>
          <t>FY31</t>
        </is>
      </c>
      <c r="D35" s="8" t="inlineStr">
        <is>
          <t>base</t>
        </is>
      </c>
      <c r="E35" s="53" t="n">
        <v>13.3</v>
      </c>
      <c r="F35" s="8" t="inlineStr">
        <is>
          <t>model_generated</t>
        </is>
      </c>
      <c r="G35" s="8" t="inlineStr">
        <is>
          <t>most recent period DSO (FY26)</t>
        </is>
      </c>
    </row>
    <row r="36">
      <c r="B36" s="7" t="inlineStr">
        <is>
          <t>dpo_days</t>
        </is>
      </c>
      <c r="C36" s="8" t="inlineStr">
        <is>
          <t>FY27</t>
        </is>
      </c>
      <c r="D36" s="8" t="inlineStr">
        <is>
          <t>base</t>
        </is>
      </c>
      <c r="E36" s="53" t="n">
        <v>14</v>
      </c>
      <c r="F36" s="8" t="inlineStr">
        <is>
          <t>model_generated</t>
        </is>
      </c>
      <c r="G36" s="8" t="inlineStr">
        <is>
          <t>most recent period DPO (FY26)</t>
        </is>
      </c>
    </row>
    <row r="37">
      <c r="B37" s="7" t="inlineStr">
        <is>
          <t>dpo_days</t>
        </is>
      </c>
      <c r="C37" s="8" t="inlineStr">
        <is>
          <t>FY28</t>
        </is>
      </c>
      <c r="D37" s="8" t="inlineStr">
        <is>
          <t>base</t>
        </is>
      </c>
      <c r="E37" s="53" t="n">
        <v>14</v>
      </c>
      <c r="F37" s="8" t="inlineStr">
        <is>
          <t>model_generated</t>
        </is>
      </c>
      <c r="G37" s="8" t="inlineStr">
        <is>
          <t>most recent period DPO (FY26)</t>
        </is>
      </c>
    </row>
    <row r="38">
      <c r="B38" s="7" t="inlineStr">
        <is>
          <t>dpo_days</t>
        </is>
      </c>
      <c r="C38" s="8" t="inlineStr">
        <is>
          <t>FY29</t>
        </is>
      </c>
      <c r="D38" s="8" t="inlineStr">
        <is>
          <t>base</t>
        </is>
      </c>
      <c r="E38" s="53" t="n">
        <v>14</v>
      </c>
      <c r="F38" s="8" t="inlineStr">
        <is>
          <t>model_generated</t>
        </is>
      </c>
      <c r="G38" s="8" t="inlineStr">
        <is>
          <t>most recent period DPO (FY26)</t>
        </is>
      </c>
    </row>
    <row r="39">
      <c r="B39" s="7" t="inlineStr">
        <is>
          <t>dpo_days</t>
        </is>
      </c>
      <c r="C39" s="8" t="inlineStr">
        <is>
          <t>FY30</t>
        </is>
      </c>
      <c r="D39" s="8" t="inlineStr">
        <is>
          <t>base</t>
        </is>
      </c>
      <c r="E39" s="53" t="n">
        <v>14</v>
      </c>
      <c r="F39" s="8" t="inlineStr">
        <is>
          <t>model_generated</t>
        </is>
      </c>
      <c r="G39" s="8" t="inlineStr">
        <is>
          <t>most recent period DPO (FY26)</t>
        </is>
      </c>
    </row>
    <row r="40">
      <c r="B40" s="7" t="inlineStr">
        <is>
          <t>dpo_days</t>
        </is>
      </c>
      <c r="C40" s="8" t="inlineStr">
        <is>
          <t>FY31</t>
        </is>
      </c>
      <c r="D40" s="8" t="inlineStr">
        <is>
          <t>base</t>
        </is>
      </c>
      <c r="E40" s="53" t="n">
        <v>14</v>
      </c>
      <c r="F40" s="8" t="inlineStr">
        <is>
          <t>model_generated</t>
        </is>
      </c>
      <c r="G40" s="8" t="inlineStr">
        <is>
          <t>most recent period DPO (FY26)</t>
        </is>
      </c>
    </row>
    <row r="41">
      <c r="B41" s="7" t="inlineStr">
        <is>
          <t>dio_days</t>
        </is>
      </c>
      <c r="C41" s="8" t="inlineStr">
        <is>
          <t>FY27</t>
        </is>
      </c>
      <c r="D41" s="8" t="inlineStr">
        <is>
          <t>base</t>
        </is>
      </c>
      <c r="E41" s="53" t="n">
        <v>0</v>
      </c>
      <c r="F41" s="8" t="inlineStr">
        <is>
          <t>model_generated</t>
        </is>
      </c>
      <c r="G41" s="8" t="inlineStr">
        <is>
          <t>zero — asset-light services/software company</t>
        </is>
      </c>
    </row>
    <row r="42">
      <c r="B42" s="7" t="inlineStr">
        <is>
          <t>dio_days</t>
        </is>
      </c>
      <c r="C42" s="8" t="inlineStr">
        <is>
          <t>FY28</t>
        </is>
      </c>
      <c r="D42" s="8" t="inlineStr">
        <is>
          <t>base</t>
        </is>
      </c>
      <c r="E42" s="53" t="n">
        <v>0</v>
      </c>
      <c r="F42" s="8" t="inlineStr">
        <is>
          <t>model_generated</t>
        </is>
      </c>
      <c r="G42" s="8" t="inlineStr">
        <is>
          <t>zero — asset-light services/software company</t>
        </is>
      </c>
    </row>
    <row r="43">
      <c r="B43" s="7" t="inlineStr">
        <is>
          <t>dio_days</t>
        </is>
      </c>
      <c r="C43" s="8" t="inlineStr">
        <is>
          <t>FY29</t>
        </is>
      </c>
      <c r="D43" s="8" t="inlineStr">
        <is>
          <t>base</t>
        </is>
      </c>
      <c r="E43" s="53" t="n">
        <v>0</v>
      </c>
      <c r="F43" s="8" t="inlineStr">
        <is>
          <t>model_generated</t>
        </is>
      </c>
      <c r="G43" s="8" t="inlineStr">
        <is>
          <t>zero — asset-light services/software company</t>
        </is>
      </c>
    </row>
    <row r="44">
      <c r="B44" s="7" t="inlineStr">
        <is>
          <t>dio_days</t>
        </is>
      </c>
      <c r="C44" s="8" t="inlineStr">
        <is>
          <t>FY30</t>
        </is>
      </c>
      <c r="D44" s="8" t="inlineStr">
        <is>
          <t>base</t>
        </is>
      </c>
      <c r="E44" s="53" t="n">
        <v>0</v>
      </c>
      <c r="F44" s="8" t="inlineStr">
        <is>
          <t>model_generated</t>
        </is>
      </c>
      <c r="G44" s="8" t="inlineStr">
        <is>
          <t>zero — asset-light services/software company</t>
        </is>
      </c>
    </row>
    <row r="45">
      <c r="B45" s="7" t="inlineStr">
        <is>
          <t>dio_days</t>
        </is>
      </c>
      <c r="C45" s="8" t="inlineStr">
        <is>
          <t>FY31</t>
        </is>
      </c>
      <c r="D45" s="8" t="inlineStr">
        <is>
          <t>base</t>
        </is>
      </c>
      <c r="E45" s="53" t="n">
        <v>0</v>
      </c>
      <c r="F45" s="8" t="inlineStr">
        <is>
          <t>model_generated</t>
        </is>
      </c>
      <c r="G45" s="8" t="inlineStr">
        <is>
          <t>zero — asset-light services/software company</t>
        </is>
      </c>
    </row>
    <row r="46">
      <c r="B46" s="7" t="inlineStr">
        <is>
          <t>capex_pct_revenue</t>
        </is>
      </c>
      <c r="C46" s="8" t="inlineStr">
        <is>
          <t>FY27</t>
        </is>
      </c>
      <c r="D46" s="8" t="inlineStr">
        <is>
          <t>base</t>
        </is>
      </c>
      <c r="E46" s="53" t="n">
        <v>8.9229</v>
      </c>
      <c r="F46" s="8" t="inlineStr">
        <is>
          <t>model_generated</t>
        </is>
      </c>
      <c r="G46" s="8" t="inlineStr">
        <is>
          <t>Multi-year average GAAP capex (canonical.cf.capex) % revenue (FY24-FY26)</t>
        </is>
      </c>
    </row>
    <row r="47">
      <c r="B47" s="7" t="inlineStr">
        <is>
          <t>capex_pct_revenue</t>
        </is>
      </c>
      <c r="C47" s="8" t="inlineStr">
        <is>
          <t>FY28</t>
        </is>
      </c>
      <c r="D47" s="8" t="inlineStr">
        <is>
          <t>base</t>
        </is>
      </c>
      <c r="E47" s="53" t="n">
        <v>8.565</v>
      </c>
      <c r="F47" s="8" t="inlineStr">
        <is>
          <t>model_generated</t>
        </is>
      </c>
      <c r="G47" s="8" t="inlineStr">
        <is>
          <t>Peak cycle CapEx (8.9%) fading to steady-state maintenance (7.1%)</t>
        </is>
      </c>
    </row>
    <row r="48">
      <c r="B48" s="7" t="inlineStr">
        <is>
          <t>capex_pct_revenue</t>
        </is>
      </c>
      <c r="C48" s="8" t="inlineStr">
        <is>
          <t>FY29</t>
        </is>
      </c>
      <c r="D48" s="8" t="inlineStr">
        <is>
          <t>base</t>
        </is>
      </c>
      <c r="E48" s="53" t="n">
        <v>8.117599999999999</v>
      </c>
      <c r="F48" s="8" t="inlineStr">
        <is>
          <t>model_generated</t>
        </is>
      </c>
      <c r="G48" s="8" t="inlineStr">
        <is>
          <t>Peak cycle CapEx (8.9%) fading to steady-state maintenance (7.1%)</t>
        </is>
      </c>
    </row>
    <row r="49">
      <c r="B49" s="7" t="inlineStr">
        <is>
          <t>capex_pct_revenue</t>
        </is>
      </c>
      <c r="C49" s="8" t="inlineStr">
        <is>
          <t>FY30</t>
        </is>
      </c>
      <c r="D49" s="8" t="inlineStr">
        <is>
          <t>base</t>
        </is>
      </c>
      <c r="E49" s="53" t="n">
        <v>7.7597</v>
      </c>
      <c r="F49" s="8" t="inlineStr">
        <is>
          <t>model_generated</t>
        </is>
      </c>
      <c r="G49" s="8" t="inlineStr">
        <is>
          <t>Peak cycle CapEx (8.9%) fading to steady-state maintenance (7.1%)</t>
        </is>
      </c>
    </row>
    <row r="50">
      <c r="B50" s="7" t="inlineStr">
        <is>
          <t>capex_pct_revenue</t>
        </is>
      </c>
      <c r="C50" s="8" t="inlineStr">
        <is>
          <t>FY31</t>
        </is>
      </c>
      <c r="D50" s="8" t="inlineStr">
        <is>
          <t>base</t>
        </is>
      </c>
      <c r="E50" s="53" t="n">
        <v>7.4018</v>
      </c>
      <c r="F50" s="8" t="inlineStr">
        <is>
          <t>model_generated</t>
        </is>
      </c>
      <c r="G50" s="8" t="inlineStr">
        <is>
          <t>Peak cycle CapEx (8.9%) fading to steady-state maintenance (7.1%)</t>
        </is>
      </c>
    </row>
    <row r="51">
      <c r="B51" s="7" t="inlineStr">
        <is>
          <t>debt_repayment</t>
        </is>
      </c>
      <c r="C51" s="8" t="inlineStr">
        <is>
          <t>FY27</t>
        </is>
      </c>
      <c r="D51" s="8" t="inlineStr">
        <is>
          <t>base</t>
        </is>
      </c>
      <c r="E51" s="53" t="n">
        <v>0</v>
      </c>
      <c r="F51" s="8" t="inlineStr">
        <is>
          <t>model_generated</t>
        </is>
      </c>
      <c r="G51" s="8" t="inlineStr">
        <is>
          <t>zero — opening debt carried flat, no draws or repayments</t>
        </is>
      </c>
    </row>
    <row r="52">
      <c r="B52" s="7" t="inlineStr">
        <is>
          <t>debt_repayment</t>
        </is>
      </c>
      <c r="C52" s="8" t="inlineStr">
        <is>
          <t>FY28</t>
        </is>
      </c>
      <c r="D52" s="8" t="inlineStr">
        <is>
          <t>base</t>
        </is>
      </c>
      <c r="E52" s="53" t="n">
        <v>0</v>
      </c>
      <c r="F52" s="8" t="inlineStr">
        <is>
          <t>model_generated</t>
        </is>
      </c>
      <c r="G52" s="8" t="inlineStr">
        <is>
          <t>zero — opening debt carried flat, no draws or repayments</t>
        </is>
      </c>
    </row>
    <row r="53">
      <c r="B53" s="7" t="inlineStr">
        <is>
          <t>debt_repayment</t>
        </is>
      </c>
      <c r="C53" s="8" t="inlineStr">
        <is>
          <t>FY29</t>
        </is>
      </c>
      <c r="D53" s="8" t="inlineStr">
        <is>
          <t>base</t>
        </is>
      </c>
      <c r="E53" s="53" t="n">
        <v>0</v>
      </c>
      <c r="F53" s="8" t="inlineStr">
        <is>
          <t>model_generated</t>
        </is>
      </c>
      <c r="G53" s="8" t="inlineStr">
        <is>
          <t>zero — opening debt carried flat, no draws or repayments</t>
        </is>
      </c>
    </row>
    <row r="54">
      <c r="B54" s="7" t="inlineStr">
        <is>
          <t>debt_repayment</t>
        </is>
      </c>
      <c r="C54" s="8" t="inlineStr">
        <is>
          <t>FY30</t>
        </is>
      </c>
      <c r="D54" s="8" t="inlineStr">
        <is>
          <t>base</t>
        </is>
      </c>
      <c r="E54" s="53" t="n">
        <v>0</v>
      </c>
      <c r="F54" s="8" t="inlineStr">
        <is>
          <t>model_generated</t>
        </is>
      </c>
      <c r="G54" s="8" t="inlineStr">
        <is>
          <t>zero — opening debt carried flat, no draws or repayments</t>
        </is>
      </c>
    </row>
    <row r="55">
      <c r="B55" s="7" t="inlineStr">
        <is>
          <t>debt_repayment</t>
        </is>
      </c>
      <c r="C55" s="8" t="inlineStr">
        <is>
          <t>FY31</t>
        </is>
      </c>
      <c r="D55" s="8" t="inlineStr">
        <is>
          <t>base</t>
        </is>
      </c>
      <c r="E55" s="53" t="n">
        <v>0</v>
      </c>
      <c r="F55" s="8" t="inlineStr">
        <is>
          <t>model_generated</t>
        </is>
      </c>
      <c r="G55" s="8" t="inlineStr">
        <is>
          <t>zero — opening debt carried flat, no draws or repayments</t>
        </is>
      </c>
    </row>
    <row r="56">
      <c r="B56" s="7" t="inlineStr">
        <is>
          <t>wacc.cost_of_equity</t>
        </is>
      </c>
      <c r="C56" s="8" t="inlineStr">
        <is>
          <t>all</t>
        </is>
      </c>
      <c r="D56" s="8" t="inlineStr">
        <is>
          <t>base</t>
        </is>
      </c>
      <c r="E56" s="53" t="n">
        <v>13</v>
      </c>
      <c r="F56" s="8" t="inlineStr">
        <is>
          <t>model_generated</t>
        </is>
      </c>
      <c r="G56" s="8" t="inlineStr">
        <is>
          <t>structural placeholder — populated in valuation engine</t>
        </is>
      </c>
    </row>
    <row r="57">
      <c r="B57" s="7" t="inlineStr">
        <is>
          <t>wacc.cost_of_debt</t>
        </is>
      </c>
      <c r="C57" s="8" t="inlineStr">
        <is>
          <t>all</t>
        </is>
      </c>
      <c r="D57" s="8" t="inlineStr">
        <is>
          <t>base</t>
        </is>
      </c>
      <c r="E57" s="53" t="n">
        <v>0</v>
      </c>
      <c r="F57" s="8" t="inlineStr">
        <is>
          <t>model_generated</t>
        </is>
      </c>
      <c r="G57" s="8" t="inlineStr">
        <is>
          <t>placeholder — valuation uses debt schedule interest rate</t>
        </is>
      </c>
    </row>
    <row r="58">
      <c r="B58" s="7" t="inlineStr">
        <is>
          <t>terminal_growth_rate</t>
        </is>
      </c>
      <c r="C58" s="8" t="inlineStr">
        <is>
          <t>terminal</t>
        </is>
      </c>
      <c r="D58" s="8" t="inlineStr">
        <is>
          <t>base</t>
        </is>
      </c>
      <c r="E58" s="53" t="n">
        <v>4</v>
      </c>
      <c r="F58" s="8" t="inlineStr">
        <is>
          <t>model_generated</t>
        </is>
      </c>
      <c r="G58" s="8" t="inlineStr">
        <is>
          <t>structural placeholder</t>
        </is>
      </c>
    </row>
    <row r="59">
      <c r="B59" s="7" t="inlineStr">
        <is>
          <t>exit_ev_multiple</t>
        </is>
      </c>
      <c r="C59" s="8" t="inlineStr">
        <is>
          <t>terminal</t>
        </is>
      </c>
      <c r="D59" s="8" t="inlineStr">
        <is>
          <t>base</t>
        </is>
      </c>
      <c r="E59" s="53" t="n">
        <v>20</v>
      </c>
      <c r="F59" s="8" t="inlineStr">
        <is>
          <t>model_generated</t>
        </is>
      </c>
      <c r="G59" s="8" t="inlineStr">
        <is>
          <t>structural placeholder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15" customWidth="1" min="4" max="4"/>
    <col width="45" customWidth="1" min="5" max="5"/>
  </cols>
  <sheetData>
    <row r="2">
      <c r="B2" s="3" t="inlineStr">
        <is>
          <t>QA / MODEL CHECKS AUDIT ROLLUP</t>
        </is>
      </c>
    </row>
    <row r="3">
      <c r="B3" s="4" t="inlineStr">
        <is>
          <t>Overall Status: MODEL VALID</t>
        </is>
      </c>
    </row>
    <row r="5">
      <c r="B5" s="11" t="inlineStr">
        <is>
          <t>Check Name</t>
        </is>
      </c>
      <c r="C5" s="12" t="inlineStr">
        <is>
          <t>Category</t>
        </is>
      </c>
      <c r="D5" s="12" t="inlineStr">
        <is>
          <t>Result</t>
        </is>
      </c>
      <c r="E5" s="12" t="inlineStr">
        <is>
          <t>Detail / Failure Reason</t>
        </is>
      </c>
    </row>
    <row r="6">
      <c r="B6" s="7" t="inlineStr">
        <is>
          <t>balance_sheet_balances</t>
        </is>
      </c>
      <c r="C6" s="8" t="inlineStr">
        <is>
          <t>accounting</t>
        </is>
      </c>
      <c r="D6" s="54" t="str">
        <f>IF(ABS('11_Balance_Sheet'!E14-'11_Balance_Sheet'!E22)&lt;1.0,"PASS","FAIL")</f>
        <v>PASS</v>
      </c>
      <c r="E6" s="8" t="inlineStr">
        <is>
          <t>Verified OK</t>
        </is>
      </c>
    </row>
    <row r="7">
      <c r="B7" s="7" t="inlineStr">
        <is>
          <t>cash_flow_reconciles</t>
        </is>
      </c>
      <c r="C7" s="8" t="inlineStr">
        <is>
          <t>accounting</t>
        </is>
      </c>
      <c r="D7" s="54" t="str">
        <f>IF(ABS('12_Cash_Flow'!E12-('11_Balance_Sheet'!E11-'11_Balance_Sheet'!D11))&lt;1.0,"PASS","FAIL")</f>
        <v>PASS</v>
      </c>
      <c r="E7" s="8" t="inlineStr">
        <is>
          <t>Verified OK</t>
        </is>
      </c>
    </row>
    <row r="8">
      <c r="B8" s="7" t="inlineStr">
        <is>
          <t>debt_schedule_reconciles</t>
        </is>
      </c>
      <c r="C8" s="8" t="inlineStr">
        <is>
          <t>accounting</t>
        </is>
      </c>
      <c r="D8" s="54" t="str">
        <f>IF(ABS('25_Debt_Schedule'!C10-'11_Balance_Sheet'!E16)&lt;1.0,"PASS","FAIL")</f>
        <v>PASS</v>
      </c>
      <c r="E8" s="8" t="inlineStr">
        <is>
          <t>Verified OK</t>
        </is>
      </c>
    </row>
    <row r="9">
      <c r="B9" s="7" t="inlineStr">
        <is>
          <t>share_count_consistent</t>
        </is>
      </c>
      <c r="C9" s="8" t="inlineStr">
        <is>
          <t>accounting</t>
        </is>
      </c>
      <c r="D9" s="54" t="str">
        <f>IF('27_Share_Count'!E6&gt;0,"PASS","FAIL")</f>
        <v>PASS</v>
      </c>
      <c r="E9" s="8" t="inlineStr">
        <is>
          <t>Verified OK</t>
        </is>
      </c>
    </row>
    <row r="10">
      <c r="B10" s="7" t="inlineStr">
        <is>
          <t>dcf_bridge_reconciles</t>
        </is>
      </c>
      <c r="C10" s="8" t="inlineStr">
        <is>
          <t>valuation</t>
        </is>
      </c>
      <c r="D10" s="54" t="str">
        <f>IF(ABS('31_DCF'!H19-('31_DCF'!H17+'31_DCF'!H18))&lt;1.0,"PASS","FAIL")</f>
        <v>PASS</v>
      </c>
      <c r="E10" s="8" t="inlineStr">
        <is>
          <t>Verified OK</t>
        </is>
      </c>
    </row>
    <row r="11">
      <c r="B11" s="7" t="inlineStr">
        <is>
          <t>wacc_valid</t>
        </is>
      </c>
      <c r="C11" s="8" t="inlineStr">
        <is>
          <t>valuation</t>
        </is>
      </c>
      <c r="D11" s="54" t="str">
        <f>IF(AND('30_WACC'!C15&gt;0.03,'30_WACC'!C15&lt;0.30),"PASS","FAIL")</f>
        <v>PASS</v>
      </c>
      <c r="E11" s="8" t="inlineStr">
        <is>
          <t>Verified OK</t>
        </is>
      </c>
    </row>
    <row r="12">
      <c r="B12" s="7" t="inlineStr">
        <is>
          <t>terminal_growth_lt_wacc</t>
        </is>
      </c>
      <c r="C12" s="8" t="inlineStr">
        <is>
          <t>valuation</t>
        </is>
      </c>
      <c r="D12" s="54" t="str">
        <f>IF('32_Terminal_Value'!C6&lt;'30_WACC'!C15,"PASS","FAIL")</f>
        <v>PASS</v>
      </c>
      <c r="E12" s="8" t="inlineStr">
        <is>
          <t>Verified OK</t>
        </is>
      </c>
    </row>
    <row r="13">
      <c r="B13" s="7" t="inlineStr">
        <is>
          <t>no_missing_critical_inputs</t>
        </is>
      </c>
      <c r="C13" s="8" t="inlineStr">
        <is>
          <t>data_quality</t>
        </is>
      </c>
      <c r="D13" s="54" t="str">
        <f>IF('31_DCF'!H28&gt;0,"PASS","FAIL")</f>
        <v>PASS</v>
      </c>
      <c r="E13" s="8" t="inlineStr">
        <is>
          <t>Verified OK</t>
        </is>
      </c>
    </row>
    <row r="14">
      <c r="B14" s="7" t="inlineStr">
        <is>
          <t>data_provenance_quality</t>
        </is>
      </c>
      <c r="C14" s="8" t="inlineStr">
        <is>
          <t>data_quality</t>
        </is>
      </c>
      <c r="D14" s="54" t="str">
        <f>IF(COUNTA('50_Data_Sources'!B6:B11)&gt;0,"PASS","FAIL")</f>
        <v>PASS</v>
      </c>
      <c r="E14" s="8" t="inlineStr">
        <is>
          <t>Verified OK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</cols>
  <sheetData>
    <row r="2">
      <c r="B2" s="3" t="inlineStr">
        <is>
          <t>SYSTEM METHODOLOGY DOCUMENTATION</t>
        </is>
      </c>
    </row>
    <row r="5">
      <c r="B5" s="11" t="inlineStr">
        <is>
          <t>Methodology Section</t>
        </is>
      </c>
      <c r="C5" s="12" t="inlineStr">
        <is>
          <t>Description / Formula Rules</t>
        </is>
      </c>
    </row>
    <row r="6">
      <c r="B6" s="7" t="inlineStr">
        <is>
          <t>Normalization &amp; Derivation</t>
        </is>
      </c>
      <c r="C6" s="8" t="inlineStr">
        <is>
          <t>Canonical keys map raw reported labels. Derived EBITDA = EBIT + D&amp;A.</t>
        </is>
      </c>
    </row>
    <row r="7">
      <c r="B7" s="7" t="inlineStr">
        <is>
          <t>Driver Engine</t>
        </is>
      </c>
      <c r="C7" s="8" t="inlineStr">
        <is>
          <t>Forecast drivers apply to prior period actuals. Revenue = Rev_(t-1) * (1 + g).</t>
        </is>
      </c>
    </row>
    <row r="8">
      <c r="B8" s="7" t="inlineStr">
        <is>
          <t>Working Capital</t>
        </is>
      </c>
      <c r="C8" s="8" t="inlineStr">
        <is>
          <t>Receivables = Revenue * DSO / 365. Payables = Cost of Sales * DPO / 365.</t>
        </is>
      </c>
    </row>
    <row r="9">
      <c r="B9" s="7" t="inlineStr">
        <is>
          <t>Balance Sheet Closure</t>
        </is>
      </c>
      <c r="C9" s="8" t="inlineStr">
        <is>
          <t>Total Assets = Prior Assets + Capex - D&amp;A + Delta_WC. Cash is the balancing plug.</t>
        </is>
      </c>
    </row>
    <row r="10">
      <c r="B10" s="7" t="inlineStr">
        <is>
          <t>Valuation Engine</t>
        </is>
      </c>
      <c r="C10" s="8" t="inlineStr">
        <is>
          <t>CAPM Cost of Equity = Rfr + Beta * ERP. WACC = Eq_Weight * r_e + Debt_Weight * r_d.</t>
        </is>
      </c>
    </row>
    <row r="11">
      <c r="B11" s="7" t="inlineStr">
        <is>
          <t>Terminal Value</t>
        </is>
      </c>
      <c r="C11" s="8" t="inlineStr">
        <is>
          <t>Gordon Growth TV = FCFF_n * (1+g) / (WACC - g). Exit Multiple TV = EBITDA_n * Multiple.</t>
        </is>
      </c>
    </row>
    <row r="12">
      <c r="B12" s="7" t="inlineStr">
        <is>
          <t>DCF Bridge</t>
        </is>
      </c>
      <c r="C12" s="8" t="inlineStr">
        <is>
          <t>EV = Sum PV(FCFF) + PV(TV). Equity Value = EV - Net Debt. Implied Price = Equity Value / Shares.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2026-08-19T15:29:22Z</dcterms:created>
  <dcterms:modified xmlns:dcterms="http://purl.org/dc/terms/" xmlns:xsi="http://www.w3.org/2001/XMLSchema-instance" xsi:type="dcterms:W3CDTF">2026-08-19T15:29:22Z</dcterms:modified>
</cp:coreProperties>
</file>